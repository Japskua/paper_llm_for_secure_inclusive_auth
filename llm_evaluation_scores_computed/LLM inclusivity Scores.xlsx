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lut-my.sharepoint.com/personal/syed_naqvi_lut_fi/Documents/Computers and Security 2026 R1/"/>
    </mc:Choice>
  </mc:AlternateContent>
  <xr:revisionPtr revIDLastSave="1039" documentId="11_747D66E0EC353F9158045859520A67E92A91A1AE" xr6:coauthVersionLast="47" xr6:coauthVersionMax="47" xr10:uidLastSave="{52BEA655-B478-4A11-9C13-0C40B1D370A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N26" i="1"/>
  <c r="N27" i="1"/>
  <c r="N28" i="1"/>
  <c r="N29" i="1"/>
  <c r="N30" i="1"/>
  <c r="N25" i="1"/>
  <c r="M26" i="1"/>
  <c r="M27" i="1"/>
  <c r="M28" i="1"/>
  <c r="M29" i="1"/>
  <c r="M30" i="1"/>
  <c r="M25" i="1"/>
  <c r="L26" i="1"/>
  <c r="L27" i="1"/>
  <c r="L28" i="1"/>
  <c r="L29" i="1"/>
  <c r="L30" i="1"/>
  <c r="L25" i="1"/>
  <c r="K26" i="1"/>
  <c r="K27" i="1"/>
  <c r="K28" i="1"/>
  <c r="K29" i="1"/>
  <c r="K30" i="1"/>
  <c r="K25" i="1"/>
  <c r="J26" i="1"/>
  <c r="J27" i="1"/>
  <c r="J28" i="1"/>
  <c r="J29" i="1"/>
  <c r="J30" i="1"/>
  <c r="J25" i="1"/>
  <c r="O26" i="1"/>
  <c r="O27" i="1"/>
  <c r="O28" i="1"/>
  <c r="O29" i="1"/>
  <c r="O30" i="1"/>
  <c r="O25" i="1"/>
  <c r="G25" i="1"/>
  <c r="G30" i="1"/>
  <c r="G26" i="1"/>
  <c r="G27" i="1"/>
  <c r="G28" i="1"/>
  <c r="G29" i="1"/>
  <c r="F26" i="1"/>
  <c r="F27" i="1"/>
  <c r="F28" i="1"/>
  <c r="F29" i="1"/>
  <c r="F30" i="1"/>
  <c r="F25" i="1"/>
  <c r="E26" i="1"/>
  <c r="E27" i="1"/>
  <c r="E28" i="1"/>
  <c r="E29" i="1"/>
  <c r="E30" i="1"/>
  <c r="E25" i="1"/>
  <c r="D26" i="1"/>
  <c r="D27" i="1"/>
  <c r="D28" i="1"/>
  <c r="D29" i="1"/>
  <c r="D30" i="1"/>
  <c r="D25" i="1"/>
  <c r="C26" i="1"/>
  <c r="C27" i="1"/>
  <c r="C28" i="1"/>
  <c r="C29" i="1"/>
  <c r="C30" i="1"/>
  <c r="C25" i="1"/>
  <c r="B26" i="1"/>
  <c r="B27" i="1"/>
  <c r="B28" i="1"/>
  <c r="B29" i="1"/>
  <c r="B30" i="1"/>
  <c r="B25" i="1"/>
  <c r="B35" i="1"/>
  <c r="B36" i="1"/>
  <c r="B37" i="1"/>
  <c r="B38" i="1"/>
  <c r="B39" i="1"/>
  <c r="AE15" i="1"/>
  <c r="AE16" i="1"/>
  <c r="AE17" i="1"/>
  <c r="AE18" i="1"/>
  <c r="AE19" i="1"/>
  <c r="AE14" i="1"/>
  <c r="AD15" i="1"/>
  <c r="AD16" i="1"/>
  <c r="AD17" i="1"/>
  <c r="AD18" i="1"/>
  <c r="AD19" i="1"/>
  <c r="AD14" i="1"/>
  <c r="AC15" i="1"/>
  <c r="AC16" i="1"/>
  <c r="AC17" i="1"/>
  <c r="AC18" i="1"/>
  <c r="AC19" i="1"/>
  <c r="AC14" i="1"/>
  <c r="AB15" i="1"/>
  <c r="AB16" i="1"/>
  <c r="AB17" i="1"/>
  <c r="AB18" i="1"/>
  <c r="AB19" i="1"/>
  <c r="AB14" i="1"/>
  <c r="AA15" i="1"/>
  <c r="AA16" i="1"/>
  <c r="AA17" i="1"/>
  <c r="AA18" i="1"/>
  <c r="AA19" i="1"/>
  <c r="AA14" i="1"/>
  <c r="Z15" i="1"/>
  <c r="Z16" i="1"/>
  <c r="Z17" i="1"/>
  <c r="Z18" i="1"/>
  <c r="Z19" i="1"/>
  <c r="Z14" i="1"/>
  <c r="Y15" i="1"/>
  <c r="Y16" i="1"/>
  <c r="Y17" i="1"/>
  <c r="Y18" i="1"/>
  <c r="Y19" i="1"/>
  <c r="Y14" i="1"/>
  <c r="X15" i="1"/>
  <c r="X16" i="1"/>
  <c r="X17" i="1"/>
  <c r="X18" i="1"/>
  <c r="X19" i="1"/>
  <c r="X14" i="1"/>
  <c r="W15" i="1"/>
  <c r="W16" i="1"/>
  <c r="W17" i="1"/>
  <c r="W18" i="1"/>
  <c r="W19" i="1"/>
  <c r="W14" i="1"/>
  <c r="V15" i="1"/>
  <c r="V16" i="1"/>
  <c r="V17" i="1"/>
  <c r="V18" i="1"/>
  <c r="V19" i="1"/>
  <c r="V14" i="1"/>
  <c r="U15" i="1"/>
  <c r="U16" i="1"/>
  <c r="U17" i="1"/>
  <c r="U18" i="1"/>
  <c r="U19" i="1"/>
  <c r="U14" i="1"/>
  <c r="T15" i="1"/>
  <c r="T16" i="1"/>
  <c r="T17" i="1"/>
  <c r="T18" i="1"/>
  <c r="T19" i="1"/>
  <c r="T14" i="1"/>
  <c r="S15" i="1"/>
  <c r="S16" i="1"/>
  <c r="S17" i="1"/>
  <c r="S18" i="1"/>
  <c r="S19" i="1"/>
  <c r="S14" i="1"/>
  <c r="R15" i="1"/>
  <c r="R16" i="1"/>
  <c r="R17" i="1"/>
  <c r="R18" i="1"/>
  <c r="R19" i="1"/>
  <c r="R14" i="1"/>
  <c r="Q15" i="1"/>
  <c r="Q16" i="1"/>
  <c r="Q17" i="1"/>
  <c r="Q18" i="1"/>
  <c r="Q19" i="1"/>
  <c r="Q14" i="1"/>
  <c r="P15" i="1"/>
  <c r="P16" i="1"/>
  <c r="P17" i="1"/>
  <c r="P18" i="1"/>
  <c r="P19" i="1"/>
  <c r="P14" i="1"/>
  <c r="O15" i="1"/>
  <c r="O16" i="1"/>
  <c r="O17" i="1"/>
  <c r="O18" i="1"/>
  <c r="O19" i="1"/>
  <c r="O14" i="1"/>
  <c r="O20" i="1" s="1"/>
  <c r="N15" i="1"/>
  <c r="N16" i="1"/>
  <c r="N17" i="1"/>
  <c r="N18" i="1"/>
  <c r="N19" i="1"/>
  <c r="N14" i="1"/>
  <c r="M15" i="1"/>
  <c r="M16" i="1"/>
  <c r="M17" i="1"/>
  <c r="M18" i="1"/>
  <c r="M19" i="1"/>
  <c r="M14" i="1"/>
  <c r="L15" i="1"/>
  <c r="L16" i="1"/>
  <c r="L17" i="1"/>
  <c r="L18" i="1"/>
  <c r="L19" i="1"/>
  <c r="L14" i="1"/>
  <c r="K15" i="1"/>
  <c r="K16" i="1"/>
  <c r="K17" i="1"/>
  <c r="K18" i="1"/>
  <c r="K19" i="1"/>
  <c r="K14" i="1"/>
  <c r="J15" i="1"/>
  <c r="J16" i="1"/>
  <c r="J17" i="1"/>
  <c r="J18" i="1"/>
  <c r="J19" i="1"/>
  <c r="J14" i="1"/>
  <c r="J20" i="1" s="1"/>
  <c r="I15" i="1"/>
  <c r="I16" i="1"/>
  <c r="I17" i="1"/>
  <c r="I18" i="1"/>
  <c r="I19" i="1"/>
  <c r="I14" i="1"/>
  <c r="H15" i="1"/>
  <c r="H16" i="1"/>
  <c r="H17" i="1"/>
  <c r="H18" i="1"/>
  <c r="H19" i="1"/>
  <c r="H14" i="1"/>
  <c r="G15" i="1"/>
  <c r="G16" i="1"/>
  <c r="G17" i="1"/>
  <c r="G18" i="1"/>
  <c r="G19" i="1"/>
  <c r="G14" i="1"/>
  <c r="F15" i="1"/>
  <c r="F16" i="1"/>
  <c r="F17" i="1"/>
  <c r="F18" i="1"/>
  <c r="F19" i="1"/>
  <c r="F14" i="1"/>
  <c r="E15" i="1"/>
  <c r="E16" i="1"/>
  <c r="E17" i="1"/>
  <c r="E18" i="1"/>
  <c r="E19" i="1"/>
  <c r="E14" i="1"/>
  <c r="D15" i="1"/>
  <c r="D16" i="1"/>
  <c r="D17" i="1"/>
  <c r="D18" i="1"/>
  <c r="D19" i="1"/>
  <c r="D14" i="1"/>
  <c r="C15" i="1"/>
  <c r="C16" i="1"/>
  <c r="C17" i="1"/>
  <c r="C18" i="1"/>
  <c r="C19" i="1"/>
  <c r="C14" i="1"/>
  <c r="B19" i="1"/>
  <c r="B18" i="1"/>
  <c r="B17" i="1"/>
  <c r="B16" i="1"/>
  <c r="B15" i="1"/>
  <c r="B14" i="1"/>
  <c r="S47" i="1"/>
  <c r="S46" i="1"/>
  <c r="S45" i="1"/>
  <c r="P47" i="1"/>
  <c r="P46" i="1"/>
  <c r="P45" i="1"/>
  <c r="S37" i="1"/>
  <c r="S36" i="1"/>
  <c r="S35" i="1"/>
  <c r="P37" i="1"/>
  <c r="P36" i="1"/>
  <c r="P35" i="1"/>
  <c r="L49" i="1"/>
  <c r="L48" i="1"/>
  <c r="L47" i="1"/>
  <c r="L46" i="1"/>
  <c r="L45" i="1"/>
  <c r="F49" i="1"/>
  <c r="F48" i="1"/>
  <c r="F47" i="1"/>
  <c r="F46" i="1"/>
  <c r="F45" i="1"/>
  <c r="B49" i="1"/>
  <c r="B48" i="1"/>
  <c r="B47" i="1"/>
  <c r="B46" i="1"/>
  <c r="B45" i="1"/>
  <c r="L38" i="1"/>
  <c r="L39" i="1"/>
  <c r="L37" i="1"/>
  <c r="L36" i="1"/>
  <c r="L35" i="1"/>
  <c r="F39" i="1"/>
  <c r="F38" i="1"/>
  <c r="F37" i="1"/>
  <c r="F36" i="1"/>
  <c r="F35" i="1"/>
  <c r="B20" i="1" l="1"/>
  <c r="L20" i="1"/>
  <c r="M20" i="1"/>
  <c r="H20" i="1"/>
  <c r="E20" i="1"/>
  <c r="AA20" i="1"/>
  <c r="AE20" i="1"/>
  <c r="AD20" i="1"/>
  <c r="AC20" i="1"/>
  <c r="AB20" i="1"/>
  <c r="Z20" i="1"/>
  <c r="Y20" i="1"/>
  <c r="X20" i="1"/>
  <c r="W20" i="1"/>
  <c r="V20" i="1"/>
  <c r="U20" i="1"/>
  <c r="T20" i="1"/>
  <c r="S20" i="1"/>
  <c r="R20" i="1"/>
  <c r="Q20" i="1"/>
  <c r="P20" i="1"/>
  <c r="N20" i="1"/>
  <c r="K20" i="1"/>
  <c r="I20" i="1"/>
  <c r="G20" i="1"/>
  <c r="F20" i="1"/>
  <c r="D20" i="1"/>
  <c r="C20" i="1"/>
</calcChain>
</file>

<file path=xl/sharedStrings.xml><?xml version="1.0" encoding="utf-8"?>
<sst xmlns="http://schemas.openxmlformats.org/spreadsheetml/2006/main" count="263" uniqueCount="59">
  <si>
    <t/>
  </si>
  <si>
    <t>Participant ID</t>
  </si>
  <si>
    <t>User Story 1: Case 1</t>
  </si>
  <si>
    <t>Averages</t>
  </si>
  <si>
    <t>User Story 1: Case 2 Averages</t>
  </si>
  <si>
    <t>User Story 1: Case 3 Averages</t>
  </si>
  <si>
    <t>User Story 2: Case 1 Averages</t>
  </si>
  <si>
    <t>User Story 2: Case 2 Averages</t>
  </si>
  <si>
    <t>User Story 2: Case 3 Averages</t>
  </si>
  <si>
    <t>OVERALL AVERAGE USER STORY 1</t>
  </si>
  <si>
    <t>Case 1</t>
  </si>
  <si>
    <t>Case 2</t>
  </si>
  <si>
    <t>Case 3</t>
  </si>
  <si>
    <t>SD</t>
  </si>
  <si>
    <t>OVERALL AVERAGE USER STORY 2</t>
  </si>
  <si>
    <t>LLM-1</t>
  </si>
  <si>
    <t>LLM-2</t>
  </si>
  <si>
    <t>LLM-3</t>
  </si>
  <si>
    <t>LLM-4</t>
  </si>
  <si>
    <t>LLM-5</t>
  </si>
  <si>
    <t>LLM-6</t>
  </si>
  <si>
    <t>E-1</t>
  </si>
  <si>
    <t>E-2</t>
  </si>
  <si>
    <t>E-3</t>
  </si>
  <si>
    <t xml:space="preserve">LLM </t>
  </si>
  <si>
    <t>Claude</t>
  </si>
  <si>
    <t>Gemini</t>
  </si>
  <si>
    <t>Mistral</t>
  </si>
  <si>
    <t>Kimi</t>
  </si>
  <si>
    <t>Qwen</t>
  </si>
  <si>
    <t>Grok</t>
  </si>
  <si>
    <t>User story 1: Case 1: BEST CASE=CASE 4</t>
  </si>
  <si>
    <t>User story 1: Case 2- BEST CASE=CASE 4</t>
  </si>
  <si>
    <t>User story 1: Case 3- BEST CASE= CASE 5</t>
  </si>
  <si>
    <t>User 2: Case 1- BEST CASE= CASE 1</t>
  </si>
  <si>
    <t>User story 2: Case 2- BEST CASE=CASE 5</t>
  </si>
  <si>
    <t>User story 2: Case 3- BEST CASE= CASE 1</t>
  </si>
  <si>
    <t xml:space="preserve">AVERAGES ACROSS ALL LLMS </t>
  </si>
  <si>
    <t>INDIVIDUAL LLM MEANS ACROSS 3 EVALUATIONS</t>
  </si>
  <si>
    <t>LLM</t>
  </si>
  <si>
    <t>User Story 1: Case 2</t>
  </si>
  <si>
    <t>User Story 1: Case 3</t>
  </si>
  <si>
    <t>User Story 2: Case 2</t>
  </si>
  <si>
    <t>User Story 2: Case 3</t>
  </si>
  <si>
    <t>User Story 2: Case 1</t>
  </si>
  <si>
    <t>Averages (VERIFIED, same as tables below)</t>
  </si>
  <si>
    <t>Attention</t>
  </si>
  <si>
    <t>Memory</t>
  </si>
  <si>
    <t>Comprehension</t>
  </si>
  <si>
    <t>Decision-making</t>
  </si>
  <si>
    <t>Learning</t>
  </si>
  <si>
    <t>LLM Case Averages</t>
  </si>
  <si>
    <t>US1:CASE 1</t>
  </si>
  <si>
    <t>US1:CASE 2</t>
  </si>
  <si>
    <t>US1:CASE 3</t>
  </si>
  <si>
    <t>US2:CASE 1</t>
  </si>
  <si>
    <t>US2:CASE 2</t>
  </si>
  <si>
    <t>US2:CASE 3</t>
  </si>
  <si>
    <t>LLM Case 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</si>
</sst>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1" fillId="2" borderId="1" xfId="0" applyFont="1" applyFill="1" applyBorder="1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8" borderId="1" xfId="0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7" xfId="0" applyBorder="1"/>
    <xf numFmtId="0" fontId="0" fillId="0" borderId="6" xfId="0" applyBorder="1"/>
    <xf numFmtId="0" fontId="1" fillId="6" borderId="0" xfId="0" applyFont="1" applyFill="1"/>
    <xf numFmtId="0" fontId="0" fillId="6" borderId="0" xfId="0" applyFill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11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wrapText="1"/>
    </xf>
    <xf numFmtId="0" fontId="0" fillId="2" borderId="2" xfId="0" applyFill="1" applyBorder="1"/>
    <xf numFmtId="0" fontId="1" fillId="3" borderId="2" xfId="0" applyFont="1" applyFill="1" applyBorder="1" applyAlignment="1">
      <alignment horizontal="center" wrapText="1"/>
    </xf>
    <xf numFmtId="0" fontId="0" fillId="3" borderId="2" xfId="0" applyFill="1" applyBorder="1"/>
    <xf numFmtId="0" fontId="1" fillId="4" borderId="2" xfId="0" applyFont="1" applyFill="1" applyBorder="1" applyAlignment="1">
      <alignment horizontal="center" wrapText="1"/>
    </xf>
    <xf numFmtId="0" fontId="0" fillId="4" borderId="2" xfId="0" applyFill="1" applyBorder="1"/>
    <xf numFmtId="0" fontId="1" fillId="7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Fill="1" applyAlignment="1">
      <alignment horizontal="center" wrapText="1"/>
    </xf>
    <xf numFmtId="0" fontId="1" fillId="0" borderId="0" xfId="0" applyFont="1" applyFill="1" applyAlignment="1">
      <alignment wrapText="1"/>
    </xf>
    <xf numFmtId="0" fontId="1" fillId="1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 wrapText="1"/>
    </xf>
    <xf numFmtId="0" fontId="1" fillId="12" borderId="12" xfId="0" applyFont="1" applyFill="1" applyBorder="1" applyAlignment="1">
      <alignment horizontal="center" vertical="center" wrapText="1"/>
    </xf>
    <xf numFmtId="0" fontId="1" fillId="12" borderId="13" xfId="0" applyFont="1" applyFill="1" applyBorder="1" applyAlignment="1">
      <alignment horizontal="center" vertical="center" wrapText="1"/>
    </xf>
    <xf numFmtId="0" fontId="1" fillId="12" borderId="14" xfId="0" applyFont="1" applyFill="1" applyBorder="1" applyAlignment="1">
      <alignment horizontal="center" vertical="center" wrapText="1"/>
    </xf>
    <xf numFmtId="0" fontId="1" fillId="12" borderId="15" xfId="0" applyFont="1" applyFill="1" applyBorder="1" applyAlignment="1">
      <alignment horizontal="center"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1" fillId="0" borderId="16" xfId="0" applyFont="1" applyFill="1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16" xfId="0" applyFont="1" applyFill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8" xfId="0" applyFont="1" applyFill="1" applyBorder="1" applyAlignment="1">
      <alignment horizontal="center" wrapText="1"/>
    </xf>
    <xf numFmtId="0" fontId="0" fillId="0" borderId="19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C5FCF-2940-4702-97EE-86269D3D488F}">
  <dimension ref="A1:CN50"/>
  <sheetViews>
    <sheetView tabSelected="1" topLeftCell="A22" zoomScale="90" zoomScaleNormal="90" workbookViewId="0">
      <selection activeCell="A32" sqref="A32:U32"/>
    </sheetView>
  </sheetViews>
  <sheetFormatPr defaultRowHeight="12.5" x14ac:dyDescent="0.25"/>
  <cols>
    <col min="1" max="1" width="17.90625" bestFit="1" customWidth="1"/>
    <col min="2" max="3" width="11.1796875" customWidth="1"/>
    <col min="4" max="4" width="12" bestFit="1" customWidth="1"/>
    <col min="5" max="5" width="11.453125" customWidth="1"/>
    <col min="6" max="6" width="11.26953125" customWidth="1"/>
    <col min="7" max="7" width="11.08984375" customWidth="1"/>
    <col min="10" max="15" width="11.54296875" bestFit="1" customWidth="1"/>
  </cols>
  <sheetData>
    <row r="1" spans="1:92" ht="13" x14ac:dyDescent="0.3">
      <c r="C1" s="45" t="s">
        <v>31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6" t="s">
        <v>32</v>
      </c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1" t="s">
        <v>33</v>
      </c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5" t="s">
        <v>34</v>
      </c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3"/>
      <c r="BK1" s="46" t="s">
        <v>35</v>
      </c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1" t="s">
        <v>36</v>
      </c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</row>
    <row r="2" spans="1:92" ht="13" x14ac:dyDescent="0.3">
      <c r="A2" s="2" t="s">
        <v>1</v>
      </c>
      <c r="B2" s="2" t="s">
        <v>24</v>
      </c>
      <c r="C2" s="34" t="s">
        <v>46</v>
      </c>
      <c r="D2" s="35"/>
      <c r="E2" s="35"/>
      <c r="F2" s="34" t="s">
        <v>47</v>
      </c>
      <c r="G2" s="35"/>
      <c r="H2" s="35"/>
      <c r="I2" s="34" t="s">
        <v>48</v>
      </c>
      <c r="J2" s="35"/>
      <c r="K2" s="35"/>
      <c r="L2" s="34" t="s">
        <v>49</v>
      </c>
      <c r="M2" s="35"/>
      <c r="N2" s="35"/>
      <c r="O2" s="34" t="s">
        <v>50</v>
      </c>
      <c r="P2" s="35"/>
      <c r="Q2" s="35"/>
      <c r="R2" s="36" t="s">
        <v>46</v>
      </c>
      <c r="S2" s="37"/>
      <c r="T2" s="37"/>
      <c r="U2" s="36" t="s">
        <v>47</v>
      </c>
      <c r="V2" s="37"/>
      <c r="W2" s="37"/>
      <c r="X2" s="36" t="s">
        <v>48</v>
      </c>
      <c r="Y2" s="37"/>
      <c r="Z2" s="37"/>
      <c r="AA2" s="36" t="s">
        <v>49</v>
      </c>
      <c r="AB2" s="37"/>
      <c r="AC2" s="37"/>
      <c r="AD2" s="36" t="s">
        <v>50</v>
      </c>
      <c r="AE2" s="37"/>
      <c r="AF2" s="37"/>
      <c r="AG2" s="38" t="s">
        <v>46</v>
      </c>
      <c r="AH2" s="39"/>
      <c r="AI2" s="39"/>
      <c r="AJ2" s="38" t="s">
        <v>47</v>
      </c>
      <c r="AK2" s="39"/>
      <c r="AL2" s="39"/>
      <c r="AM2" s="38" t="s">
        <v>48</v>
      </c>
      <c r="AN2" s="39"/>
      <c r="AO2" s="39"/>
      <c r="AP2" s="38" t="s">
        <v>49</v>
      </c>
      <c r="AQ2" s="39"/>
      <c r="AR2" s="39"/>
      <c r="AS2" s="38" t="s">
        <v>50</v>
      </c>
      <c r="AT2" s="39"/>
      <c r="AU2" s="39"/>
      <c r="AV2" s="34" t="s">
        <v>46</v>
      </c>
      <c r="AW2" s="35"/>
      <c r="AX2" s="35"/>
      <c r="AY2" s="34" t="s">
        <v>47</v>
      </c>
      <c r="AZ2" s="35"/>
      <c r="BA2" s="35"/>
      <c r="BB2" s="34" t="s">
        <v>48</v>
      </c>
      <c r="BC2" s="35"/>
      <c r="BD2" s="35"/>
      <c r="BE2" s="34" t="s">
        <v>49</v>
      </c>
      <c r="BF2" s="35"/>
      <c r="BG2" s="35"/>
      <c r="BH2" s="34" t="s">
        <v>50</v>
      </c>
      <c r="BI2" s="35"/>
      <c r="BJ2" s="35"/>
      <c r="BK2" s="36" t="s">
        <v>46</v>
      </c>
      <c r="BL2" s="37"/>
      <c r="BM2" s="37"/>
      <c r="BN2" s="36" t="s">
        <v>47</v>
      </c>
      <c r="BO2" s="37"/>
      <c r="BP2" s="37"/>
      <c r="BQ2" s="36" t="s">
        <v>48</v>
      </c>
      <c r="BR2" s="37"/>
      <c r="BS2" s="37"/>
      <c r="BT2" s="36" t="s">
        <v>49</v>
      </c>
      <c r="BU2" s="37"/>
      <c r="BV2" s="37"/>
      <c r="BW2" s="36" t="s">
        <v>50</v>
      </c>
      <c r="BX2" s="37"/>
      <c r="BY2" s="37"/>
      <c r="BZ2" s="38" t="s">
        <v>46</v>
      </c>
      <c r="CA2" s="39"/>
      <c r="CB2" s="39"/>
      <c r="CC2" s="38" t="s">
        <v>47</v>
      </c>
      <c r="CD2" s="39"/>
      <c r="CE2" s="39"/>
      <c r="CF2" s="38" t="s">
        <v>48</v>
      </c>
      <c r="CG2" s="39"/>
      <c r="CH2" s="39"/>
      <c r="CI2" s="38" t="s">
        <v>49</v>
      </c>
      <c r="CJ2" s="39"/>
      <c r="CK2" s="39"/>
      <c r="CL2" s="38" t="s">
        <v>50</v>
      </c>
      <c r="CM2" s="39"/>
      <c r="CN2" s="39"/>
    </row>
    <row r="3" spans="1:92" ht="13" x14ac:dyDescent="0.3">
      <c r="A3" s="4" t="s">
        <v>0</v>
      </c>
      <c r="B3" s="4" t="s">
        <v>0</v>
      </c>
      <c r="C3" s="4" t="s">
        <v>21</v>
      </c>
      <c r="D3" s="4" t="s">
        <v>22</v>
      </c>
      <c r="E3" s="4" t="s">
        <v>23</v>
      </c>
      <c r="F3" s="4" t="s">
        <v>21</v>
      </c>
      <c r="G3" s="4" t="s">
        <v>22</v>
      </c>
      <c r="H3" s="4" t="s">
        <v>23</v>
      </c>
      <c r="I3" s="4" t="s">
        <v>21</v>
      </c>
      <c r="J3" s="4" t="s">
        <v>22</v>
      </c>
      <c r="K3" s="4" t="s">
        <v>23</v>
      </c>
      <c r="L3" s="4" t="s">
        <v>21</v>
      </c>
      <c r="M3" s="4" t="s">
        <v>22</v>
      </c>
      <c r="N3" s="4" t="s">
        <v>23</v>
      </c>
      <c r="O3" s="4" t="s">
        <v>21</v>
      </c>
      <c r="P3" s="4" t="s">
        <v>22</v>
      </c>
      <c r="Q3" s="4" t="s">
        <v>23</v>
      </c>
      <c r="R3" s="4" t="s">
        <v>21</v>
      </c>
      <c r="S3" s="4" t="s">
        <v>22</v>
      </c>
      <c r="T3" s="4" t="s">
        <v>23</v>
      </c>
      <c r="U3" s="4" t="s">
        <v>21</v>
      </c>
      <c r="V3" s="4" t="s">
        <v>22</v>
      </c>
      <c r="W3" s="4" t="s">
        <v>23</v>
      </c>
      <c r="X3" s="4" t="s">
        <v>21</v>
      </c>
      <c r="Y3" s="4" t="s">
        <v>22</v>
      </c>
      <c r="Z3" s="4" t="s">
        <v>23</v>
      </c>
      <c r="AA3" s="4" t="s">
        <v>21</v>
      </c>
      <c r="AB3" s="4" t="s">
        <v>22</v>
      </c>
      <c r="AC3" s="4" t="s">
        <v>23</v>
      </c>
      <c r="AD3" s="4" t="s">
        <v>21</v>
      </c>
      <c r="AE3" s="4" t="s">
        <v>22</v>
      </c>
      <c r="AF3" s="4" t="s">
        <v>23</v>
      </c>
      <c r="AG3" s="4" t="s">
        <v>21</v>
      </c>
      <c r="AH3" s="4" t="s">
        <v>22</v>
      </c>
      <c r="AI3" s="4" t="s">
        <v>23</v>
      </c>
      <c r="AJ3" s="4" t="s">
        <v>21</v>
      </c>
      <c r="AK3" s="4" t="s">
        <v>22</v>
      </c>
      <c r="AL3" s="4" t="s">
        <v>23</v>
      </c>
      <c r="AM3" s="4" t="s">
        <v>21</v>
      </c>
      <c r="AN3" s="4" t="s">
        <v>22</v>
      </c>
      <c r="AO3" s="4" t="s">
        <v>23</v>
      </c>
      <c r="AP3" s="4" t="s">
        <v>21</v>
      </c>
      <c r="AQ3" s="4" t="s">
        <v>22</v>
      </c>
      <c r="AR3" s="4" t="s">
        <v>23</v>
      </c>
      <c r="AS3" s="4" t="s">
        <v>21</v>
      </c>
      <c r="AT3" s="4" t="s">
        <v>22</v>
      </c>
      <c r="AU3" s="4" t="s">
        <v>23</v>
      </c>
      <c r="AV3" s="4" t="s">
        <v>21</v>
      </c>
      <c r="AW3" s="4" t="s">
        <v>22</v>
      </c>
      <c r="AX3" s="4" t="s">
        <v>23</v>
      </c>
      <c r="AY3" s="4" t="s">
        <v>21</v>
      </c>
      <c r="AZ3" s="4" t="s">
        <v>22</v>
      </c>
      <c r="BA3" s="4" t="s">
        <v>23</v>
      </c>
      <c r="BB3" s="4" t="s">
        <v>21</v>
      </c>
      <c r="BC3" s="4" t="s">
        <v>22</v>
      </c>
      <c r="BD3" s="4" t="s">
        <v>23</v>
      </c>
      <c r="BE3" s="4" t="s">
        <v>21</v>
      </c>
      <c r="BF3" s="4" t="s">
        <v>22</v>
      </c>
      <c r="BG3" s="4" t="s">
        <v>23</v>
      </c>
      <c r="BH3" s="4" t="s">
        <v>21</v>
      </c>
      <c r="BI3" s="4" t="s">
        <v>22</v>
      </c>
      <c r="BJ3" s="4" t="s">
        <v>23</v>
      </c>
      <c r="BK3" s="4" t="s">
        <v>21</v>
      </c>
      <c r="BL3" s="4" t="s">
        <v>22</v>
      </c>
      <c r="BM3" s="4" t="s">
        <v>23</v>
      </c>
      <c r="BN3" s="4" t="s">
        <v>21</v>
      </c>
      <c r="BO3" s="4" t="s">
        <v>22</v>
      </c>
      <c r="BP3" s="4" t="s">
        <v>23</v>
      </c>
      <c r="BQ3" s="4" t="s">
        <v>21</v>
      </c>
      <c r="BR3" s="4" t="s">
        <v>22</v>
      </c>
      <c r="BS3" s="4" t="s">
        <v>23</v>
      </c>
      <c r="BT3" s="4" t="s">
        <v>21</v>
      </c>
      <c r="BU3" s="4" t="s">
        <v>22</v>
      </c>
      <c r="BV3" s="4" t="s">
        <v>23</v>
      </c>
      <c r="BW3" s="4" t="s">
        <v>21</v>
      </c>
      <c r="BX3" s="4" t="s">
        <v>22</v>
      </c>
      <c r="BY3" s="4" t="s">
        <v>23</v>
      </c>
      <c r="BZ3" s="4" t="s">
        <v>21</v>
      </c>
      <c r="CA3" s="4" t="s">
        <v>22</v>
      </c>
      <c r="CB3" s="4" t="s">
        <v>23</v>
      </c>
      <c r="CC3" s="4" t="s">
        <v>21</v>
      </c>
      <c r="CD3" s="4" t="s">
        <v>22</v>
      </c>
      <c r="CE3" s="4" t="s">
        <v>23</v>
      </c>
      <c r="CF3" s="4" t="s">
        <v>21</v>
      </c>
      <c r="CG3" s="4" t="s">
        <v>22</v>
      </c>
      <c r="CH3" s="4" t="s">
        <v>23</v>
      </c>
      <c r="CI3" s="4" t="s">
        <v>21</v>
      </c>
      <c r="CJ3" s="4" t="s">
        <v>22</v>
      </c>
      <c r="CK3" s="4" t="s">
        <v>23</v>
      </c>
      <c r="CL3" s="4" t="s">
        <v>21</v>
      </c>
      <c r="CM3" s="4" t="s">
        <v>22</v>
      </c>
      <c r="CN3" s="4" t="s">
        <v>23</v>
      </c>
    </row>
    <row r="4" spans="1:92" x14ac:dyDescent="0.25">
      <c r="A4" s="5" t="s">
        <v>15</v>
      </c>
      <c r="B4" s="6" t="s">
        <v>25</v>
      </c>
      <c r="C4" s="8">
        <v>4.3333000000000004</v>
      </c>
      <c r="D4" s="8">
        <v>4.3333000000000004</v>
      </c>
      <c r="E4" s="8">
        <v>3.6667000000000001</v>
      </c>
      <c r="F4" s="8">
        <v>1.6667000000000001</v>
      </c>
      <c r="G4" s="8">
        <v>2</v>
      </c>
      <c r="H4" s="8">
        <v>1.6667000000000001</v>
      </c>
      <c r="I4" s="8">
        <v>2.6667000000000001</v>
      </c>
      <c r="J4" s="8">
        <v>2.6667000000000001</v>
      </c>
      <c r="K4" s="8">
        <v>2.6667000000000001</v>
      </c>
      <c r="L4" s="8">
        <v>4</v>
      </c>
      <c r="M4" s="8">
        <v>4</v>
      </c>
      <c r="N4" s="8">
        <v>4</v>
      </c>
      <c r="O4" s="8">
        <v>3.6667000000000001</v>
      </c>
      <c r="P4" s="8">
        <v>3.6667000000000001</v>
      </c>
      <c r="Q4" s="8">
        <v>4</v>
      </c>
      <c r="R4" s="8">
        <v>4.3333000000000004</v>
      </c>
      <c r="S4" s="8">
        <v>4.3333000000000004</v>
      </c>
      <c r="T4" s="8">
        <v>4.3333000000000004</v>
      </c>
      <c r="U4" s="8">
        <v>1.6667000000000001</v>
      </c>
      <c r="V4" s="8">
        <v>2</v>
      </c>
      <c r="W4" s="8">
        <v>1.6667000000000001</v>
      </c>
      <c r="X4" s="8">
        <v>3</v>
      </c>
      <c r="Y4" s="8">
        <v>2.6667000000000001</v>
      </c>
      <c r="Z4" s="8">
        <v>2.6667000000000001</v>
      </c>
      <c r="AA4" s="8">
        <v>3.6667000000000001</v>
      </c>
      <c r="AB4" s="8">
        <v>3.6667000000000001</v>
      </c>
      <c r="AC4" s="8">
        <v>3.6667000000000001</v>
      </c>
      <c r="AD4" s="8">
        <v>4</v>
      </c>
      <c r="AE4" s="8">
        <v>4</v>
      </c>
      <c r="AF4" s="8">
        <v>4</v>
      </c>
      <c r="AG4" s="8">
        <v>4.3333000000000004</v>
      </c>
      <c r="AH4" s="8">
        <v>4.3333000000000004</v>
      </c>
      <c r="AI4" s="8">
        <v>4.3333000000000004</v>
      </c>
      <c r="AJ4" s="8">
        <v>2.3332999999999999</v>
      </c>
      <c r="AK4" s="8">
        <v>2.6667000000000001</v>
      </c>
      <c r="AL4" s="8">
        <v>2.6667000000000001</v>
      </c>
      <c r="AM4" s="8">
        <v>3</v>
      </c>
      <c r="AN4" s="8">
        <v>3</v>
      </c>
      <c r="AO4" s="8">
        <v>3</v>
      </c>
      <c r="AP4" s="8">
        <v>4</v>
      </c>
      <c r="AQ4" s="8">
        <v>4</v>
      </c>
      <c r="AR4" s="8">
        <v>4.3333000000000004</v>
      </c>
      <c r="AS4" s="8">
        <v>4</v>
      </c>
      <c r="AT4" s="8">
        <v>4.3333000000000004</v>
      </c>
      <c r="AU4" s="8">
        <v>4.3333000000000004</v>
      </c>
      <c r="AV4" s="8">
        <v>3.3332999999999999</v>
      </c>
      <c r="AW4" s="8">
        <v>3</v>
      </c>
      <c r="AX4" s="8">
        <v>4</v>
      </c>
      <c r="AY4" s="8">
        <v>3.3332999999999999</v>
      </c>
      <c r="AZ4" s="8">
        <v>3.3332999999999999</v>
      </c>
      <c r="BA4" s="8">
        <v>4</v>
      </c>
      <c r="BB4" s="8">
        <v>2.3332999999999999</v>
      </c>
      <c r="BC4" s="8">
        <v>1.6667000000000001</v>
      </c>
      <c r="BD4" s="8">
        <v>1.6667000000000001</v>
      </c>
      <c r="BE4" s="8">
        <v>3.3332999999999999</v>
      </c>
      <c r="BF4" s="8">
        <v>3.6667000000000001</v>
      </c>
      <c r="BG4" s="8">
        <v>4.3333000000000004</v>
      </c>
      <c r="BH4" s="8">
        <v>2.3332999999999999</v>
      </c>
      <c r="BI4" s="8">
        <v>2</v>
      </c>
      <c r="BJ4" s="8">
        <v>2.6667000000000001</v>
      </c>
      <c r="BK4" s="8">
        <v>3.6667000000000001</v>
      </c>
      <c r="BL4" s="8">
        <v>4</v>
      </c>
      <c r="BM4" s="8">
        <v>4</v>
      </c>
      <c r="BN4" s="8">
        <v>3.6667000000000001</v>
      </c>
      <c r="BO4" s="8">
        <v>3.6667000000000001</v>
      </c>
      <c r="BP4" s="8">
        <v>3.6667000000000001</v>
      </c>
      <c r="BQ4" s="8">
        <v>1.6667000000000001</v>
      </c>
      <c r="BR4" s="8">
        <v>1.6667000000000001</v>
      </c>
      <c r="BS4" s="8">
        <v>1.6667000000000001</v>
      </c>
      <c r="BT4" s="8">
        <v>3.6667000000000001</v>
      </c>
      <c r="BU4" s="8">
        <v>3</v>
      </c>
      <c r="BV4" s="8">
        <v>3</v>
      </c>
      <c r="BW4" s="8">
        <v>2.3332999999999999</v>
      </c>
      <c r="BX4" s="8">
        <v>2.3332999999999999</v>
      </c>
      <c r="BY4" s="8">
        <v>2.3332999999999999</v>
      </c>
      <c r="BZ4" s="7">
        <v>4.3333000000000004</v>
      </c>
      <c r="CA4" s="7">
        <v>4.3333000000000004</v>
      </c>
      <c r="CB4" s="7">
        <v>4.3333000000000004</v>
      </c>
      <c r="CC4" s="7">
        <v>5</v>
      </c>
      <c r="CD4" s="7">
        <v>5</v>
      </c>
      <c r="CE4" s="7">
        <v>5</v>
      </c>
      <c r="CF4" s="7">
        <v>4.3333000000000004</v>
      </c>
      <c r="CG4" s="7">
        <v>4.3333000000000004</v>
      </c>
      <c r="CH4" s="7">
        <v>4.3333000000000004</v>
      </c>
      <c r="CI4" s="7">
        <v>4.3333000000000004</v>
      </c>
      <c r="CJ4" s="7">
        <v>4.3333000000000004</v>
      </c>
      <c r="CK4" s="7">
        <v>4</v>
      </c>
      <c r="CL4" s="7">
        <v>3.3332999999999999</v>
      </c>
      <c r="CM4" s="7">
        <v>3.6667000000000001</v>
      </c>
      <c r="CN4" s="7">
        <v>3</v>
      </c>
    </row>
    <row r="5" spans="1:92" x14ac:dyDescent="0.25">
      <c r="A5" s="5" t="s">
        <v>16</v>
      </c>
      <c r="B5" s="6" t="s">
        <v>26</v>
      </c>
      <c r="C5" s="8">
        <v>4.6666999999999996</v>
      </c>
      <c r="D5" s="8">
        <v>4.3333000000000004</v>
      </c>
      <c r="E5" s="8">
        <v>4.6666999999999996</v>
      </c>
      <c r="F5" s="8">
        <v>1.6667000000000001</v>
      </c>
      <c r="G5" s="8">
        <v>2</v>
      </c>
      <c r="H5" s="8">
        <v>1.6667000000000001</v>
      </c>
      <c r="I5" s="8">
        <v>2.6667000000000001</v>
      </c>
      <c r="J5" s="8">
        <v>2.3332999999999999</v>
      </c>
      <c r="K5" s="8">
        <v>2.3332999999999999</v>
      </c>
      <c r="L5" s="8">
        <v>3.6667000000000001</v>
      </c>
      <c r="M5" s="8">
        <v>4</v>
      </c>
      <c r="N5" s="8">
        <v>3.6667000000000001</v>
      </c>
      <c r="O5" s="8">
        <v>4</v>
      </c>
      <c r="P5" s="8">
        <v>4</v>
      </c>
      <c r="Q5" s="8">
        <v>4</v>
      </c>
      <c r="R5" s="8">
        <v>4.3333000000000004</v>
      </c>
      <c r="S5" s="8">
        <v>5</v>
      </c>
      <c r="T5" s="8">
        <v>4</v>
      </c>
      <c r="U5" s="8">
        <v>1.6667000000000001</v>
      </c>
      <c r="V5" s="8">
        <v>1.3332999999999999</v>
      </c>
      <c r="W5" s="8">
        <v>2.3332999999999999</v>
      </c>
      <c r="X5" s="8">
        <v>3</v>
      </c>
      <c r="Y5" s="8">
        <v>2.6667000000000001</v>
      </c>
      <c r="Z5" s="8">
        <v>3</v>
      </c>
      <c r="AA5" s="8">
        <v>3.6667000000000001</v>
      </c>
      <c r="AB5" s="8">
        <v>3.6667000000000001</v>
      </c>
      <c r="AC5" s="8">
        <v>3.3332999999999999</v>
      </c>
      <c r="AD5" s="8">
        <v>4.3333000000000004</v>
      </c>
      <c r="AE5" s="8">
        <v>4.3333000000000004</v>
      </c>
      <c r="AF5" s="8">
        <v>3.6667000000000001</v>
      </c>
      <c r="AG5" s="8">
        <v>5</v>
      </c>
      <c r="AH5" s="8">
        <v>5</v>
      </c>
      <c r="AI5" s="8">
        <v>5</v>
      </c>
      <c r="AJ5" s="8">
        <v>3.3332999999999999</v>
      </c>
      <c r="AK5" s="8">
        <v>3.6667000000000001</v>
      </c>
      <c r="AL5" s="8">
        <v>4</v>
      </c>
      <c r="AM5" s="8">
        <v>3.3332999999999999</v>
      </c>
      <c r="AN5" s="8">
        <v>3.6667000000000001</v>
      </c>
      <c r="AO5" s="8">
        <v>4</v>
      </c>
      <c r="AP5" s="8">
        <v>4.6666999999999996</v>
      </c>
      <c r="AQ5" s="8">
        <v>5</v>
      </c>
      <c r="AR5" s="8">
        <v>4.6666999999999996</v>
      </c>
      <c r="AS5" s="8">
        <v>4.6666999999999996</v>
      </c>
      <c r="AT5" s="8">
        <v>5</v>
      </c>
      <c r="AU5" s="8">
        <v>5</v>
      </c>
      <c r="AV5" s="8">
        <v>4</v>
      </c>
      <c r="AW5" s="8">
        <v>4</v>
      </c>
      <c r="AX5" s="8">
        <v>5</v>
      </c>
      <c r="AY5" s="8">
        <v>4</v>
      </c>
      <c r="AZ5" s="8">
        <v>4</v>
      </c>
      <c r="BA5" s="8">
        <v>5</v>
      </c>
      <c r="BB5" s="8">
        <v>2.6667000000000001</v>
      </c>
      <c r="BC5" s="8">
        <v>2.3332999999999999</v>
      </c>
      <c r="BD5" s="8">
        <v>2.3332999999999999</v>
      </c>
      <c r="BE5" s="8">
        <v>4</v>
      </c>
      <c r="BF5" s="8">
        <v>4</v>
      </c>
      <c r="BG5" s="8">
        <v>5</v>
      </c>
      <c r="BH5" s="8">
        <v>2.6667000000000001</v>
      </c>
      <c r="BI5" s="8">
        <v>2.6667000000000001</v>
      </c>
      <c r="BJ5" s="8">
        <v>3</v>
      </c>
      <c r="BK5" s="8">
        <v>4.6666999999999996</v>
      </c>
      <c r="BL5" s="8">
        <v>3.6667000000000001</v>
      </c>
      <c r="BM5" s="8">
        <v>4.3333000000000004</v>
      </c>
      <c r="BN5" s="8">
        <v>4</v>
      </c>
      <c r="BO5" s="8">
        <v>3.6667000000000001</v>
      </c>
      <c r="BP5" s="8">
        <v>4</v>
      </c>
      <c r="BQ5" s="8">
        <v>2.3332999999999999</v>
      </c>
      <c r="BR5" s="8">
        <v>2.3332999999999999</v>
      </c>
      <c r="BS5" s="8">
        <v>1.6667000000000001</v>
      </c>
      <c r="BT5" s="8">
        <v>5</v>
      </c>
      <c r="BU5" s="8">
        <v>4</v>
      </c>
      <c r="BV5" s="8">
        <v>4.6666999999999996</v>
      </c>
      <c r="BW5" s="8">
        <v>3.6667000000000001</v>
      </c>
      <c r="BX5" s="8">
        <v>3</v>
      </c>
      <c r="BY5" s="8">
        <v>3.6667000000000001</v>
      </c>
      <c r="BZ5" s="7">
        <v>4</v>
      </c>
      <c r="CA5" s="7">
        <v>4</v>
      </c>
      <c r="CB5" s="7">
        <v>4</v>
      </c>
      <c r="CC5" s="7">
        <v>4</v>
      </c>
      <c r="CD5" s="7">
        <v>4</v>
      </c>
      <c r="CE5" s="7">
        <v>4</v>
      </c>
      <c r="CF5" s="7">
        <v>3.6667000000000001</v>
      </c>
      <c r="CG5" s="7">
        <v>3.6667000000000001</v>
      </c>
      <c r="CH5" s="7">
        <v>3.6667000000000001</v>
      </c>
      <c r="CI5" s="7">
        <v>4</v>
      </c>
      <c r="CJ5" s="7">
        <v>4</v>
      </c>
      <c r="CK5" s="7">
        <v>4</v>
      </c>
      <c r="CL5" s="7">
        <v>3.3332999999999999</v>
      </c>
      <c r="CM5" s="7">
        <v>3.3332999999999999</v>
      </c>
      <c r="CN5" s="7">
        <v>3.3332999999999999</v>
      </c>
    </row>
    <row r="6" spans="1:92" x14ac:dyDescent="0.25">
      <c r="A6" s="5" t="s">
        <v>17</v>
      </c>
      <c r="B6" s="6" t="s">
        <v>27</v>
      </c>
      <c r="C6" s="8">
        <v>4.3333000000000004</v>
      </c>
      <c r="D6" s="8">
        <v>4.3333000000000004</v>
      </c>
      <c r="E6" s="8">
        <v>4.3333000000000004</v>
      </c>
      <c r="F6" s="8">
        <v>1.6667000000000001</v>
      </c>
      <c r="G6" s="8">
        <v>1.6667000000000001</v>
      </c>
      <c r="H6" s="8">
        <v>1.6667000000000001</v>
      </c>
      <c r="I6" s="8">
        <v>3</v>
      </c>
      <c r="J6" s="8">
        <v>3.3332999999999999</v>
      </c>
      <c r="K6" s="8">
        <v>3</v>
      </c>
      <c r="L6" s="8">
        <v>4</v>
      </c>
      <c r="M6" s="8">
        <v>4.3333000000000004</v>
      </c>
      <c r="N6" s="8">
        <v>4</v>
      </c>
      <c r="O6" s="8">
        <v>3</v>
      </c>
      <c r="P6" s="8">
        <v>3</v>
      </c>
      <c r="Q6" s="8">
        <v>3</v>
      </c>
      <c r="R6" s="8">
        <v>4.3333000000000004</v>
      </c>
      <c r="S6" s="8">
        <v>4.3333000000000004</v>
      </c>
      <c r="T6" s="8">
        <v>4.3333000000000004</v>
      </c>
      <c r="U6" s="8">
        <v>1.6667000000000001</v>
      </c>
      <c r="V6" s="8">
        <v>1.6667000000000001</v>
      </c>
      <c r="W6" s="8">
        <v>2</v>
      </c>
      <c r="X6" s="8">
        <v>3.3332999999999999</v>
      </c>
      <c r="Y6" s="8">
        <v>3</v>
      </c>
      <c r="Z6" s="8">
        <v>3.3332999999999999</v>
      </c>
      <c r="AA6" s="8">
        <v>4</v>
      </c>
      <c r="AB6" s="8">
        <v>4.6666999999999996</v>
      </c>
      <c r="AC6" s="8">
        <v>4.3333000000000004</v>
      </c>
      <c r="AD6" s="8">
        <v>3</v>
      </c>
      <c r="AE6" s="8">
        <v>3</v>
      </c>
      <c r="AF6" s="8">
        <v>4</v>
      </c>
      <c r="AG6" s="8">
        <v>5</v>
      </c>
      <c r="AH6" s="8">
        <v>5</v>
      </c>
      <c r="AI6" s="8">
        <v>5</v>
      </c>
      <c r="AJ6" s="8">
        <v>4</v>
      </c>
      <c r="AK6" s="8">
        <v>4</v>
      </c>
      <c r="AL6" s="8">
        <v>4</v>
      </c>
      <c r="AM6" s="8">
        <v>4.6666999999999996</v>
      </c>
      <c r="AN6" s="8">
        <v>4.6666999999999996</v>
      </c>
      <c r="AO6" s="8">
        <v>4.6666999999999996</v>
      </c>
      <c r="AP6" s="8">
        <v>5</v>
      </c>
      <c r="AQ6" s="8">
        <v>5</v>
      </c>
      <c r="AR6" s="8">
        <v>5</v>
      </c>
      <c r="AS6" s="8">
        <v>5</v>
      </c>
      <c r="AT6" s="8">
        <v>5</v>
      </c>
      <c r="AU6" s="8">
        <v>5</v>
      </c>
      <c r="AV6" s="8">
        <v>4.6666999999999996</v>
      </c>
      <c r="AW6" s="8">
        <v>4.6666999999999996</v>
      </c>
      <c r="AX6" s="8">
        <v>4.6666999999999996</v>
      </c>
      <c r="AY6" s="8">
        <v>3.6667000000000001</v>
      </c>
      <c r="AZ6" s="8">
        <v>3.6667000000000001</v>
      </c>
      <c r="BA6" s="8">
        <v>3.6667000000000001</v>
      </c>
      <c r="BB6" s="8">
        <v>1</v>
      </c>
      <c r="BC6" s="8">
        <v>1</v>
      </c>
      <c r="BD6" s="8">
        <v>1.3332999999999999</v>
      </c>
      <c r="BE6" s="8">
        <v>4.3333000000000004</v>
      </c>
      <c r="BF6" s="8">
        <v>4.6666999999999996</v>
      </c>
      <c r="BG6" s="8">
        <v>4.6666999999999996</v>
      </c>
      <c r="BH6" s="8">
        <v>3</v>
      </c>
      <c r="BI6" s="8">
        <v>3.6667000000000001</v>
      </c>
      <c r="BJ6" s="8">
        <v>3.6667000000000001</v>
      </c>
      <c r="BK6" s="8">
        <v>4.6666999999999996</v>
      </c>
      <c r="BL6" s="8">
        <v>4.3333000000000004</v>
      </c>
      <c r="BM6" s="8">
        <v>4.3333000000000004</v>
      </c>
      <c r="BN6" s="8">
        <v>4</v>
      </c>
      <c r="BO6" s="8">
        <v>3.3332999999999999</v>
      </c>
      <c r="BP6" s="8">
        <v>4</v>
      </c>
      <c r="BQ6" s="8">
        <v>1</v>
      </c>
      <c r="BR6" s="8">
        <v>1</v>
      </c>
      <c r="BS6" s="8">
        <v>1</v>
      </c>
      <c r="BT6" s="8">
        <v>4</v>
      </c>
      <c r="BU6" s="8">
        <v>4</v>
      </c>
      <c r="BV6" s="8">
        <v>4</v>
      </c>
      <c r="BW6" s="8">
        <v>4</v>
      </c>
      <c r="BX6" s="8">
        <v>3.3332999999999999</v>
      </c>
      <c r="BY6" s="8">
        <v>4</v>
      </c>
      <c r="BZ6" s="7">
        <v>4.6666999999999996</v>
      </c>
      <c r="CA6" s="7">
        <v>4.6666999999999996</v>
      </c>
      <c r="CB6" s="7">
        <v>4.6666999999999996</v>
      </c>
      <c r="CC6" s="7">
        <v>5</v>
      </c>
      <c r="CD6" s="7">
        <v>5</v>
      </c>
      <c r="CE6" s="7">
        <v>5</v>
      </c>
      <c r="CF6" s="7">
        <v>4.3333000000000004</v>
      </c>
      <c r="CG6" s="7">
        <v>4.3333000000000004</v>
      </c>
      <c r="CH6" s="7">
        <v>4.3333000000000004</v>
      </c>
      <c r="CI6" s="7">
        <v>5</v>
      </c>
      <c r="CJ6" s="7">
        <v>5</v>
      </c>
      <c r="CK6" s="7">
        <v>5</v>
      </c>
      <c r="CL6" s="7">
        <v>4.6666999999999996</v>
      </c>
      <c r="CM6" s="7">
        <v>4.6666999999999996</v>
      </c>
      <c r="CN6" s="7">
        <v>4.6666999999999996</v>
      </c>
    </row>
    <row r="7" spans="1:92" x14ac:dyDescent="0.25">
      <c r="A7" s="5" t="s">
        <v>18</v>
      </c>
      <c r="B7" s="6" t="s">
        <v>28</v>
      </c>
      <c r="C7" s="8">
        <v>4</v>
      </c>
      <c r="D7" s="8">
        <v>4.3333000000000004</v>
      </c>
      <c r="E7" s="8">
        <v>4.3333000000000004</v>
      </c>
      <c r="F7" s="8">
        <v>1.3332999999999999</v>
      </c>
      <c r="G7" s="8">
        <v>2</v>
      </c>
      <c r="H7" s="8">
        <v>1.6667000000000001</v>
      </c>
      <c r="I7" s="8">
        <v>2.6667000000000001</v>
      </c>
      <c r="J7" s="8">
        <v>2.6667000000000001</v>
      </c>
      <c r="K7" s="8">
        <v>3</v>
      </c>
      <c r="L7" s="8">
        <v>3.6667000000000001</v>
      </c>
      <c r="M7" s="8">
        <v>4</v>
      </c>
      <c r="N7" s="8">
        <v>3.6667000000000001</v>
      </c>
      <c r="O7" s="8">
        <v>4</v>
      </c>
      <c r="P7" s="8">
        <v>4</v>
      </c>
      <c r="Q7" s="8">
        <v>4</v>
      </c>
      <c r="R7" s="8">
        <v>4</v>
      </c>
      <c r="S7" s="8">
        <v>4.3333000000000004</v>
      </c>
      <c r="T7" s="8">
        <v>3.6667000000000001</v>
      </c>
      <c r="U7" s="8">
        <v>1.6667000000000001</v>
      </c>
      <c r="V7" s="8">
        <v>2</v>
      </c>
      <c r="W7" s="8">
        <v>2.6667000000000001</v>
      </c>
      <c r="X7" s="8">
        <v>3.3332999999999999</v>
      </c>
      <c r="Y7" s="8">
        <v>2.6667000000000001</v>
      </c>
      <c r="Z7" s="8">
        <v>3</v>
      </c>
      <c r="AA7" s="8">
        <v>3.6667000000000001</v>
      </c>
      <c r="AB7" s="8">
        <v>3.6667000000000001</v>
      </c>
      <c r="AC7" s="8">
        <v>4.3333000000000004</v>
      </c>
      <c r="AD7" s="8">
        <v>4.3333000000000004</v>
      </c>
      <c r="AE7" s="8">
        <v>4.3333000000000004</v>
      </c>
      <c r="AF7" s="8">
        <v>4.3333000000000004</v>
      </c>
      <c r="AG7" s="8">
        <v>4.3333000000000004</v>
      </c>
      <c r="AH7" s="8">
        <v>4.3333000000000004</v>
      </c>
      <c r="AI7" s="8">
        <v>4.6666999999999996</v>
      </c>
      <c r="AJ7" s="8">
        <v>3</v>
      </c>
      <c r="AK7" s="8">
        <v>3</v>
      </c>
      <c r="AL7" s="8">
        <v>2.6667000000000001</v>
      </c>
      <c r="AM7" s="8">
        <v>3.6667000000000001</v>
      </c>
      <c r="AN7" s="8">
        <v>3.6667000000000001</v>
      </c>
      <c r="AO7" s="8">
        <v>3.3332999999999999</v>
      </c>
      <c r="AP7" s="8">
        <v>4.3333000000000004</v>
      </c>
      <c r="AQ7" s="8">
        <v>4.3333000000000004</v>
      </c>
      <c r="AR7" s="8">
        <v>4.3333000000000004</v>
      </c>
      <c r="AS7" s="8">
        <v>4.6666999999999996</v>
      </c>
      <c r="AT7" s="8">
        <v>4.3333000000000004</v>
      </c>
      <c r="AU7" s="8">
        <v>4.6666999999999996</v>
      </c>
      <c r="AV7" s="8">
        <v>4</v>
      </c>
      <c r="AW7" s="8">
        <v>3.6667000000000001</v>
      </c>
      <c r="AX7" s="8">
        <v>4</v>
      </c>
      <c r="AY7" s="8">
        <v>4</v>
      </c>
      <c r="AZ7" s="8">
        <v>3.6667000000000001</v>
      </c>
      <c r="BA7" s="8">
        <v>4.6666999999999996</v>
      </c>
      <c r="BB7" s="8">
        <v>3</v>
      </c>
      <c r="BC7" s="8">
        <v>3</v>
      </c>
      <c r="BD7" s="8">
        <v>3</v>
      </c>
      <c r="BE7" s="8">
        <v>4.3333000000000004</v>
      </c>
      <c r="BF7" s="8">
        <v>4</v>
      </c>
      <c r="BG7" s="8">
        <v>4.6666999999999996</v>
      </c>
      <c r="BH7" s="8">
        <v>2.6667000000000001</v>
      </c>
      <c r="BI7" s="8">
        <v>2.3332999999999999</v>
      </c>
      <c r="BJ7" s="8">
        <v>2.3332999999999999</v>
      </c>
      <c r="BK7" s="8">
        <v>4</v>
      </c>
      <c r="BL7" s="8">
        <v>4.3333000000000004</v>
      </c>
      <c r="BM7" s="8">
        <v>4.3333000000000004</v>
      </c>
      <c r="BN7" s="8">
        <v>4.6666999999999996</v>
      </c>
      <c r="BO7" s="8">
        <v>4.3333000000000004</v>
      </c>
      <c r="BP7" s="8">
        <v>4.6666999999999996</v>
      </c>
      <c r="BQ7" s="8">
        <v>2.6667000000000001</v>
      </c>
      <c r="BR7" s="8">
        <v>2.6667000000000001</v>
      </c>
      <c r="BS7" s="8">
        <v>2.6667000000000001</v>
      </c>
      <c r="BT7" s="8">
        <v>4.3333000000000004</v>
      </c>
      <c r="BU7" s="8">
        <v>4.3333000000000004</v>
      </c>
      <c r="BV7" s="8">
        <v>4.6666999999999996</v>
      </c>
      <c r="BW7" s="8">
        <v>3</v>
      </c>
      <c r="BX7" s="8">
        <v>2.6667000000000001</v>
      </c>
      <c r="BY7" s="8">
        <v>3</v>
      </c>
      <c r="BZ7" s="7">
        <v>4.6666999999999996</v>
      </c>
      <c r="CA7" s="7">
        <v>4.6666999999999996</v>
      </c>
      <c r="CB7" s="7">
        <v>4.6666999999999996</v>
      </c>
      <c r="CC7" s="7">
        <v>5</v>
      </c>
      <c r="CD7" s="7">
        <v>5</v>
      </c>
      <c r="CE7" s="7">
        <v>5</v>
      </c>
      <c r="CF7" s="7">
        <v>4.3333000000000004</v>
      </c>
      <c r="CG7" s="7">
        <v>4.3333000000000004</v>
      </c>
      <c r="CH7" s="7">
        <v>4.3333000000000004</v>
      </c>
      <c r="CI7" s="7">
        <v>4.6666999999999996</v>
      </c>
      <c r="CJ7" s="7">
        <v>4.6666999999999996</v>
      </c>
      <c r="CK7" s="7">
        <v>4.6666999999999996</v>
      </c>
      <c r="CL7" s="7">
        <v>3.6667000000000001</v>
      </c>
      <c r="CM7" s="7">
        <v>4.3333000000000004</v>
      </c>
      <c r="CN7" s="7">
        <v>4.3333000000000004</v>
      </c>
    </row>
    <row r="8" spans="1:92" x14ac:dyDescent="0.25">
      <c r="A8" s="5" t="s">
        <v>19</v>
      </c>
      <c r="B8" s="6" t="s">
        <v>29</v>
      </c>
      <c r="C8" s="8">
        <v>4.3333000000000004</v>
      </c>
      <c r="D8" s="8">
        <v>4.3333000000000004</v>
      </c>
      <c r="E8" s="8">
        <v>4.3333000000000004</v>
      </c>
      <c r="F8" s="8">
        <v>2.3332999999999999</v>
      </c>
      <c r="G8" s="8">
        <v>2</v>
      </c>
      <c r="H8" s="8">
        <v>2.3332999999999999</v>
      </c>
      <c r="I8" s="8">
        <v>2.6667000000000001</v>
      </c>
      <c r="J8" s="8">
        <v>2.6667000000000001</v>
      </c>
      <c r="K8" s="8">
        <v>2.6667000000000001</v>
      </c>
      <c r="L8" s="8">
        <v>4</v>
      </c>
      <c r="M8" s="8">
        <v>3.6667000000000001</v>
      </c>
      <c r="N8" s="8">
        <v>4</v>
      </c>
      <c r="O8" s="8">
        <v>4</v>
      </c>
      <c r="P8" s="8">
        <v>4.3333000000000004</v>
      </c>
      <c r="Q8" s="8">
        <v>4</v>
      </c>
      <c r="R8" s="8">
        <v>4.3333000000000004</v>
      </c>
      <c r="S8" s="8">
        <v>4.3333000000000004</v>
      </c>
      <c r="T8" s="8">
        <v>4.3333000000000004</v>
      </c>
      <c r="U8" s="8">
        <v>2</v>
      </c>
      <c r="V8" s="8">
        <v>3</v>
      </c>
      <c r="W8" s="8">
        <v>2</v>
      </c>
      <c r="X8" s="8">
        <v>3</v>
      </c>
      <c r="Y8" s="8">
        <v>3</v>
      </c>
      <c r="Z8" s="8">
        <v>2.6667000000000001</v>
      </c>
      <c r="AA8" s="8">
        <v>3.3332999999999999</v>
      </c>
      <c r="AB8" s="8">
        <v>3.6667000000000001</v>
      </c>
      <c r="AC8" s="8">
        <v>3.6667000000000001</v>
      </c>
      <c r="AD8" s="8">
        <v>3.6667000000000001</v>
      </c>
      <c r="AE8" s="8">
        <v>4</v>
      </c>
      <c r="AF8" s="8">
        <v>4.3333000000000004</v>
      </c>
      <c r="AG8" s="8">
        <v>4.6666999999999996</v>
      </c>
      <c r="AH8" s="8">
        <v>4.3333000000000004</v>
      </c>
      <c r="AI8" s="8">
        <v>4.6666999999999996</v>
      </c>
      <c r="AJ8" s="8">
        <v>3.3332999999999999</v>
      </c>
      <c r="AK8" s="8">
        <v>3.3332999999999999</v>
      </c>
      <c r="AL8" s="8">
        <v>3.6667000000000001</v>
      </c>
      <c r="AM8" s="8">
        <v>3.6667000000000001</v>
      </c>
      <c r="AN8" s="8">
        <v>3.6667000000000001</v>
      </c>
      <c r="AO8" s="8">
        <v>3.6667000000000001</v>
      </c>
      <c r="AP8" s="8">
        <v>4.3333000000000004</v>
      </c>
      <c r="AQ8" s="8">
        <v>4.3333000000000004</v>
      </c>
      <c r="AR8" s="8">
        <v>4.3333000000000004</v>
      </c>
      <c r="AS8" s="8">
        <v>4.6666999999999996</v>
      </c>
      <c r="AT8" s="8">
        <v>4.6666999999999996</v>
      </c>
      <c r="AU8" s="8">
        <v>4.6666999999999996</v>
      </c>
      <c r="AV8" s="8">
        <v>4</v>
      </c>
      <c r="AW8" s="8">
        <v>4</v>
      </c>
      <c r="AX8" s="8">
        <v>3.3332999999999999</v>
      </c>
      <c r="AY8" s="8">
        <v>4.3333000000000004</v>
      </c>
      <c r="AZ8" s="8">
        <v>4.3333000000000004</v>
      </c>
      <c r="BA8" s="8">
        <v>4</v>
      </c>
      <c r="BB8" s="8">
        <v>2.6667000000000001</v>
      </c>
      <c r="BC8" s="8">
        <v>2.3332999999999999</v>
      </c>
      <c r="BD8" s="8">
        <v>3</v>
      </c>
      <c r="BE8" s="8">
        <v>4</v>
      </c>
      <c r="BF8" s="8">
        <v>4.3333000000000004</v>
      </c>
      <c r="BG8" s="8">
        <v>4</v>
      </c>
      <c r="BH8" s="8">
        <v>2.3332999999999999</v>
      </c>
      <c r="BI8" s="8">
        <v>2</v>
      </c>
      <c r="BJ8" s="8">
        <v>2.6667000000000001</v>
      </c>
      <c r="BK8" s="8">
        <v>4.3333000000000004</v>
      </c>
      <c r="BL8" s="8">
        <v>4.3333000000000004</v>
      </c>
      <c r="BM8" s="8">
        <v>4.3333000000000004</v>
      </c>
      <c r="BN8" s="8">
        <v>4.6666999999999996</v>
      </c>
      <c r="BO8" s="8">
        <v>4.6666999999999996</v>
      </c>
      <c r="BP8" s="8">
        <v>4.3333000000000004</v>
      </c>
      <c r="BQ8" s="8">
        <v>2</v>
      </c>
      <c r="BR8" s="8">
        <v>2.6667000000000001</v>
      </c>
      <c r="BS8" s="8">
        <v>2.6667000000000001</v>
      </c>
      <c r="BT8" s="8">
        <v>4.6666999999999996</v>
      </c>
      <c r="BU8" s="8">
        <v>4.3333000000000004</v>
      </c>
      <c r="BV8" s="8">
        <v>4.3333000000000004</v>
      </c>
      <c r="BW8" s="8">
        <v>2.6667000000000001</v>
      </c>
      <c r="BX8" s="8">
        <v>2.6667000000000001</v>
      </c>
      <c r="BY8" s="8">
        <v>3.3332999999999999</v>
      </c>
      <c r="BZ8" s="7">
        <v>4.6666999999999996</v>
      </c>
      <c r="CA8" s="7">
        <v>5</v>
      </c>
      <c r="CB8" s="7">
        <v>4.6666999999999996</v>
      </c>
      <c r="CC8" s="7">
        <v>4.6666999999999996</v>
      </c>
      <c r="CD8" s="7">
        <v>5</v>
      </c>
      <c r="CE8" s="7">
        <v>4.6666999999999996</v>
      </c>
      <c r="CF8" s="7">
        <v>4.6666999999999996</v>
      </c>
      <c r="CG8" s="7">
        <v>4.3333000000000004</v>
      </c>
      <c r="CH8" s="7">
        <v>4.3333000000000004</v>
      </c>
      <c r="CI8" s="7">
        <v>4.3333000000000004</v>
      </c>
      <c r="CJ8" s="7">
        <v>5</v>
      </c>
      <c r="CK8" s="7">
        <v>5</v>
      </c>
      <c r="CL8" s="7">
        <v>4.6666999999999996</v>
      </c>
      <c r="CM8" s="7">
        <v>4.6666999999999996</v>
      </c>
      <c r="CN8" s="7">
        <v>4.6666999999999996</v>
      </c>
    </row>
    <row r="9" spans="1:92" x14ac:dyDescent="0.25">
      <c r="A9" s="5" t="s">
        <v>20</v>
      </c>
      <c r="B9" s="6" t="s">
        <v>30</v>
      </c>
      <c r="C9" s="8">
        <v>4.3333000000000004</v>
      </c>
      <c r="D9" s="8">
        <v>4.3333000000000004</v>
      </c>
      <c r="E9" s="8">
        <v>4.6666999999999996</v>
      </c>
      <c r="F9" s="8">
        <v>1.3332999999999999</v>
      </c>
      <c r="G9" s="8">
        <v>1.6667000000000001</v>
      </c>
      <c r="H9" s="8">
        <v>1.6667000000000001</v>
      </c>
      <c r="I9" s="8">
        <v>2.6667000000000001</v>
      </c>
      <c r="J9" s="8">
        <v>3</v>
      </c>
      <c r="K9" s="8">
        <v>2.3332999999999999</v>
      </c>
      <c r="L9" s="8">
        <v>4</v>
      </c>
      <c r="M9" s="8">
        <v>3.3332999999999999</v>
      </c>
      <c r="N9" s="8">
        <v>3.6667000000000001</v>
      </c>
      <c r="O9" s="8">
        <v>4.3333000000000004</v>
      </c>
      <c r="P9" s="8">
        <v>4</v>
      </c>
      <c r="Q9" s="8">
        <v>4</v>
      </c>
      <c r="R9" s="8">
        <v>4.6666999999999996</v>
      </c>
      <c r="S9" s="8">
        <v>4.3333000000000004</v>
      </c>
      <c r="T9" s="8">
        <v>4.3333000000000004</v>
      </c>
      <c r="U9" s="8">
        <v>1.6667000000000001</v>
      </c>
      <c r="V9" s="8">
        <v>1.6667000000000001</v>
      </c>
      <c r="W9" s="8">
        <v>1.6667000000000001</v>
      </c>
      <c r="X9" s="8">
        <v>2.6667000000000001</v>
      </c>
      <c r="Y9" s="8">
        <v>2.6667000000000001</v>
      </c>
      <c r="Z9" s="8">
        <v>2.6667000000000001</v>
      </c>
      <c r="AA9" s="8">
        <v>3.3332999999999999</v>
      </c>
      <c r="AB9" s="8">
        <v>3</v>
      </c>
      <c r="AC9" s="8">
        <v>3</v>
      </c>
      <c r="AD9" s="8">
        <v>4.3333000000000004</v>
      </c>
      <c r="AE9" s="8">
        <v>3.6667000000000001</v>
      </c>
      <c r="AF9" s="8">
        <v>4</v>
      </c>
      <c r="AG9" s="8">
        <v>5</v>
      </c>
      <c r="AH9" s="8">
        <v>5</v>
      </c>
      <c r="AI9" s="8">
        <v>5</v>
      </c>
      <c r="AJ9" s="8">
        <v>3.3332999999999999</v>
      </c>
      <c r="AK9" s="8">
        <v>2.6667000000000001</v>
      </c>
      <c r="AL9" s="8">
        <v>2.6667000000000001</v>
      </c>
      <c r="AM9" s="8">
        <v>4</v>
      </c>
      <c r="AN9" s="8">
        <v>3.6667000000000001</v>
      </c>
      <c r="AO9" s="8">
        <v>3.6667000000000001</v>
      </c>
      <c r="AP9" s="8">
        <v>4</v>
      </c>
      <c r="AQ9" s="8">
        <v>4</v>
      </c>
      <c r="AR9" s="8">
        <v>4.3333000000000004</v>
      </c>
      <c r="AS9" s="8">
        <v>4.6666999999999996</v>
      </c>
      <c r="AT9" s="8">
        <v>4.6666999999999996</v>
      </c>
      <c r="AU9" s="8">
        <v>4.6666999999999996</v>
      </c>
      <c r="AV9" s="8">
        <v>4.3333000000000004</v>
      </c>
      <c r="AW9" s="8">
        <v>5</v>
      </c>
      <c r="AX9" s="8">
        <v>5</v>
      </c>
      <c r="AY9" s="8">
        <v>3.6667000000000001</v>
      </c>
      <c r="AZ9" s="8">
        <v>4.3333000000000004</v>
      </c>
      <c r="BA9" s="8">
        <v>4.6666999999999996</v>
      </c>
      <c r="BB9" s="8">
        <v>2.3332999999999999</v>
      </c>
      <c r="BC9" s="8">
        <v>3</v>
      </c>
      <c r="BD9" s="8">
        <v>3</v>
      </c>
      <c r="BE9" s="8">
        <v>4.3333000000000004</v>
      </c>
      <c r="BF9" s="8">
        <v>4.6666999999999996</v>
      </c>
      <c r="BG9" s="8">
        <v>4.6666999999999996</v>
      </c>
      <c r="BH9" s="8">
        <v>3.3332999999999999</v>
      </c>
      <c r="BI9" s="8">
        <v>2.6667000000000001</v>
      </c>
      <c r="BJ9" s="8">
        <v>3.3332999999999999</v>
      </c>
      <c r="BK9" s="8">
        <v>5</v>
      </c>
      <c r="BL9" s="8">
        <v>5</v>
      </c>
      <c r="BM9" s="8">
        <v>5</v>
      </c>
      <c r="BN9" s="8">
        <v>5</v>
      </c>
      <c r="BO9" s="8">
        <v>4.6666999999999996</v>
      </c>
      <c r="BP9" s="8">
        <v>4.6666999999999996</v>
      </c>
      <c r="BQ9" s="8">
        <v>2.6667000000000001</v>
      </c>
      <c r="BR9" s="8">
        <v>3</v>
      </c>
      <c r="BS9" s="8">
        <v>3.3332999999999999</v>
      </c>
      <c r="BT9" s="8">
        <v>4.6666999999999996</v>
      </c>
      <c r="BU9" s="8">
        <v>4.3333000000000004</v>
      </c>
      <c r="BV9" s="8">
        <v>4.6666999999999996</v>
      </c>
      <c r="BW9" s="8">
        <v>3.6667000000000001</v>
      </c>
      <c r="BX9" s="8">
        <v>3.3332999999999999</v>
      </c>
      <c r="BY9" s="8">
        <v>4</v>
      </c>
      <c r="BZ9" s="7">
        <v>4.6666999999999996</v>
      </c>
      <c r="CA9" s="7">
        <v>4.6666999999999996</v>
      </c>
      <c r="CB9" s="7">
        <v>4.6666999999999996</v>
      </c>
      <c r="CC9" s="7">
        <v>5</v>
      </c>
      <c r="CD9" s="7">
        <v>5</v>
      </c>
      <c r="CE9" s="7">
        <v>5</v>
      </c>
      <c r="CF9" s="7">
        <v>4.6666999999999996</v>
      </c>
      <c r="CG9" s="7">
        <v>4.3333000000000004</v>
      </c>
      <c r="CH9" s="7">
        <v>4.3333000000000004</v>
      </c>
      <c r="CI9" s="7">
        <v>5</v>
      </c>
      <c r="CJ9" s="7">
        <v>5</v>
      </c>
      <c r="CK9" s="7">
        <v>5</v>
      </c>
      <c r="CL9" s="7">
        <v>4</v>
      </c>
      <c r="CM9" s="7">
        <v>4</v>
      </c>
      <c r="CN9" s="7">
        <v>4</v>
      </c>
    </row>
    <row r="10" spans="1:9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</row>
    <row r="11" spans="1:92" s="12" customFormat="1" ht="30" customHeight="1" x14ac:dyDescent="0.25">
      <c r="A11" s="49" t="s">
        <v>38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</row>
    <row r="12" spans="1:92" s="12" customFormat="1" ht="13" x14ac:dyDescent="0.25">
      <c r="A12" s="25"/>
      <c r="B12" s="53" t="s">
        <v>2</v>
      </c>
      <c r="C12" s="53"/>
      <c r="D12" s="53"/>
      <c r="E12" s="53"/>
      <c r="F12" s="53"/>
      <c r="G12" s="47" t="s">
        <v>40</v>
      </c>
      <c r="H12" s="47"/>
      <c r="I12" s="47"/>
      <c r="J12" s="47"/>
      <c r="K12" s="47"/>
      <c r="L12" s="48" t="s">
        <v>41</v>
      </c>
      <c r="M12" s="48"/>
      <c r="N12" s="48"/>
      <c r="O12" s="48"/>
      <c r="P12" s="48"/>
      <c r="Q12" s="53" t="s">
        <v>44</v>
      </c>
      <c r="R12" s="53"/>
      <c r="S12" s="53"/>
      <c r="T12" s="53"/>
      <c r="U12" s="53"/>
      <c r="V12" s="47" t="s">
        <v>42</v>
      </c>
      <c r="W12" s="47"/>
      <c r="X12" s="47"/>
      <c r="Y12" s="47"/>
      <c r="Z12" s="47"/>
      <c r="AA12" s="48" t="s">
        <v>43</v>
      </c>
      <c r="AB12" s="48"/>
      <c r="AC12" s="48"/>
      <c r="AD12" s="48"/>
      <c r="AE12" s="48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</row>
    <row r="13" spans="1:92" s="33" customFormat="1" ht="13" customHeight="1" x14ac:dyDescent="0.25">
      <c r="A13" s="29" t="s">
        <v>39</v>
      </c>
      <c r="B13" s="28" t="s">
        <v>46</v>
      </c>
      <c r="C13" s="28" t="s">
        <v>47</v>
      </c>
      <c r="D13" s="28" t="s">
        <v>48</v>
      </c>
      <c r="E13" s="28" t="s">
        <v>49</v>
      </c>
      <c r="F13" s="28" t="s">
        <v>50</v>
      </c>
      <c r="G13" s="30" t="s">
        <v>46</v>
      </c>
      <c r="H13" s="30" t="s">
        <v>47</v>
      </c>
      <c r="I13" s="30" t="s">
        <v>48</v>
      </c>
      <c r="J13" s="30" t="s">
        <v>49</v>
      </c>
      <c r="K13" s="30" t="s">
        <v>50</v>
      </c>
      <c r="L13" s="31" t="s">
        <v>46</v>
      </c>
      <c r="M13" s="31" t="s">
        <v>47</v>
      </c>
      <c r="N13" s="31" t="s">
        <v>48</v>
      </c>
      <c r="O13" s="31" t="s">
        <v>49</v>
      </c>
      <c r="P13" s="31" t="s">
        <v>50</v>
      </c>
      <c r="Q13" s="28" t="s">
        <v>46</v>
      </c>
      <c r="R13" s="28" t="s">
        <v>47</v>
      </c>
      <c r="S13" s="28" t="s">
        <v>48</v>
      </c>
      <c r="T13" s="28" t="s">
        <v>49</v>
      </c>
      <c r="U13" s="28" t="s">
        <v>50</v>
      </c>
      <c r="V13" s="30" t="s">
        <v>46</v>
      </c>
      <c r="W13" s="30" t="s">
        <v>47</v>
      </c>
      <c r="X13" s="30" t="s">
        <v>48</v>
      </c>
      <c r="Y13" s="30" t="s">
        <v>49</v>
      </c>
      <c r="Z13" s="30" t="s">
        <v>50</v>
      </c>
      <c r="AA13" s="31" t="s">
        <v>46</v>
      </c>
      <c r="AB13" s="31" t="s">
        <v>47</v>
      </c>
      <c r="AC13" s="31" t="s">
        <v>48</v>
      </c>
      <c r="AD13" s="31" t="s">
        <v>49</v>
      </c>
      <c r="AE13" s="31" t="s">
        <v>50</v>
      </c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</row>
    <row r="14" spans="1:92" x14ac:dyDescent="0.25">
      <c r="A14" s="5" t="s">
        <v>25</v>
      </c>
      <c r="B14" s="5">
        <f t="shared" ref="B14:B19" si="0">AVERAGE(C4:E4)</f>
        <v>4.1111000000000004</v>
      </c>
      <c r="C14" s="5">
        <f>AVERAGE(F4:H4)</f>
        <v>1.7778</v>
      </c>
      <c r="D14" s="5">
        <f>AVERAGE(I4:K4)</f>
        <v>2.6667000000000001</v>
      </c>
      <c r="E14" s="5">
        <f>AVERAGE(L4:N4)</f>
        <v>4</v>
      </c>
      <c r="F14" s="5">
        <f>AVERAGE(O4:Q4)</f>
        <v>3.7778000000000005</v>
      </c>
      <c r="G14" s="5">
        <f>AVERAGE(R4:T4)</f>
        <v>4.3333000000000004</v>
      </c>
      <c r="H14" s="5">
        <f>AVERAGE(U4:W4)</f>
        <v>1.7778</v>
      </c>
      <c r="I14" s="5">
        <f>AVERAGE(X4:Z4)</f>
        <v>2.7778000000000005</v>
      </c>
      <c r="J14" s="5">
        <f>AVERAGE(AA4:AC4)</f>
        <v>3.6667000000000001</v>
      </c>
      <c r="K14" s="5">
        <f>AVERAGE(AD4:AF4)</f>
        <v>4</v>
      </c>
      <c r="L14" s="5">
        <f>AVERAGE(AE4:AG4)</f>
        <v>4.1111000000000004</v>
      </c>
      <c r="M14" s="5">
        <f>AVERAGE(AJ4:AL4)</f>
        <v>2.555566666666667</v>
      </c>
      <c r="N14" s="5">
        <f>AVERAGE(AM4:AO4)</f>
        <v>3</v>
      </c>
      <c r="O14" s="5">
        <f>AVERAGE(AP4:AR4)</f>
        <v>4.1111000000000004</v>
      </c>
      <c r="P14" s="5">
        <f>AVERAGE(AS4:AU4)</f>
        <v>4.2222000000000008</v>
      </c>
      <c r="Q14" s="5">
        <f>AVERAGE(AV4:AX4)</f>
        <v>3.444433333333333</v>
      </c>
      <c r="R14" s="5">
        <f>AVERAGE(AY4:BA4)</f>
        <v>3.555533333333333</v>
      </c>
      <c r="S14" s="5">
        <f>AVERAGE(BB4:BD4)</f>
        <v>1.8889000000000002</v>
      </c>
      <c r="T14" s="5">
        <f>AVERAGE(BE4:BG4)</f>
        <v>3.7777666666666669</v>
      </c>
      <c r="U14" s="5">
        <f>AVERAGE(BH4:BJ4)</f>
        <v>2.3333333333333335</v>
      </c>
      <c r="V14" s="5">
        <f>AVERAGE(BK4:BM4)</f>
        <v>3.8889</v>
      </c>
      <c r="W14" s="5">
        <f>AVERAGE(BN4:BP4)</f>
        <v>3.6667000000000001</v>
      </c>
      <c r="X14" s="5">
        <f>AVERAGE(BQ4:BS4)</f>
        <v>1.6666999999999998</v>
      </c>
      <c r="Y14" s="5">
        <f>AVERAGE(BT4:BV4)</f>
        <v>3.2222333333333335</v>
      </c>
      <c r="Z14" s="5">
        <f>AVERAGE(BW4:BY4)</f>
        <v>2.3332999999999999</v>
      </c>
      <c r="AA14" s="5">
        <f>AVERAGE(BZ4:CB4)</f>
        <v>4.3333000000000004</v>
      </c>
      <c r="AB14" s="5">
        <f>AVERAGE(CC4:CE4)</f>
        <v>5</v>
      </c>
      <c r="AC14" s="5">
        <f>AVERAGE(CF4:CH4)</f>
        <v>4.3333000000000004</v>
      </c>
      <c r="AD14" s="5">
        <f>AVERAGE(CI4:CK4)</f>
        <v>4.2222</v>
      </c>
      <c r="AE14" s="5">
        <f>AVERAGE(CL4:CN4)</f>
        <v>3.3333333333333335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</row>
    <row r="15" spans="1:92" ht="13" customHeight="1" x14ac:dyDescent="0.25">
      <c r="A15" s="5" t="s">
        <v>26</v>
      </c>
      <c r="B15" s="5">
        <f t="shared" si="0"/>
        <v>4.5555666666666665</v>
      </c>
      <c r="C15" s="5">
        <f t="shared" ref="C15:C19" si="1">AVERAGE(F5:H5)</f>
        <v>1.7778</v>
      </c>
      <c r="D15" s="5">
        <f t="shared" ref="D15:D19" si="2">AVERAGE(I5:K5)</f>
        <v>2.444433333333333</v>
      </c>
      <c r="E15" s="5">
        <f t="shared" ref="E15:E19" si="3">AVERAGE(L5:N5)</f>
        <v>3.7778000000000005</v>
      </c>
      <c r="F15" s="5">
        <f t="shared" ref="F15:F19" si="4">AVERAGE(O5:Q5)</f>
        <v>4</v>
      </c>
      <c r="G15" s="5">
        <f t="shared" ref="G15:G19" si="5">AVERAGE(R5:T5)</f>
        <v>4.4444333333333335</v>
      </c>
      <c r="H15" s="5">
        <f t="shared" ref="H15:H19" si="6">AVERAGE(U5:W5)</f>
        <v>1.7777666666666665</v>
      </c>
      <c r="I15" s="5">
        <f t="shared" ref="I15:I19" si="7">AVERAGE(X5:Z5)</f>
        <v>2.8889</v>
      </c>
      <c r="J15" s="5">
        <f t="shared" ref="J15:J19" si="8">AVERAGE(AA5:AC5)</f>
        <v>3.555566666666667</v>
      </c>
      <c r="K15" s="5">
        <f t="shared" ref="K15:K19" si="9">AVERAGE(AD5:AF5)</f>
        <v>4.1111000000000004</v>
      </c>
      <c r="L15" s="5">
        <f t="shared" ref="L15:L19" si="10">AVERAGE(AE5:AG5)</f>
        <v>4.333333333333333</v>
      </c>
      <c r="M15" s="5">
        <f t="shared" ref="M15:M19" si="11">AVERAGE(AJ5:AL5)</f>
        <v>3.6666666666666665</v>
      </c>
      <c r="N15" s="5">
        <f t="shared" ref="N15:N19" si="12">AVERAGE(AM5:AO5)</f>
        <v>3.6666666666666665</v>
      </c>
      <c r="O15" s="5">
        <f t="shared" ref="O15:O19" si="13">AVERAGE(AP5:AR5)</f>
        <v>4.7777999999999992</v>
      </c>
      <c r="P15" s="5">
        <f t="shared" ref="P15:P19" si="14">AVERAGE(AS5:AU5)</f>
        <v>4.8888999999999996</v>
      </c>
      <c r="Q15" s="5">
        <f t="shared" ref="Q15:Q19" si="15">AVERAGE(AV5:AX5)</f>
        <v>4.333333333333333</v>
      </c>
      <c r="R15" s="5">
        <f t="shared" ref="R15:R18" si="16">AVERAGE(AY5:BA5)</f>
        <v>4.333333333333333</v>
      </c>
      <c r="S15" s="5">
        <f t="shared" ref="S15:S19" si="17">AVERAGE(BB5:BD5)</f>
        <v>2.444433333333333</v>
      </c>
      <c r="T15" s="5">
        <f t="shared" ref="T15:T19" si="18">AVERAGE(BE5:BG5)</f>
        <v>4.333333333333333</v>
      </c>
      <c r="U15" s="5">
        <f t="shared" ref="U15:U19" si="19">AVERAGE(BH5:BJ5)</f>
        <v>2.7778000000000005</v>
      </c>
      <c r="V15" s="5">
        <f t="shared" ref="V15:V19" si="20">AVERAGE(BK5:BM5)</f>
        <v>4.2222333333333326</v>
      </c>
      <c r="W15" s="5">
        <f t="shared" ref="W15:W19" si="21">AVERAGE(BN5:BP5)</f>
        <v>3.8889</v>
      </c>
      <c r="X15" s="5">
        <f t="shared" ref="X15:X19" si="22">AVERAGE(BQ5:BS5)</f>
        <v>2.1111</v>
      </c>
      <c r="Y15" s="5">
        <f t="shared" ref="Y15:Y19" si="23">AVERAGE(BT5:BV5)</f>
        <v>4.5555666666666665</v>
      </c>
      <c r="Z15" s="5">
        <f t="shared" ref="Z15:Z19" si="24">AVERAGE(BW5:BY5)</f>
        <v>3.444466666666667</v>
      </c>
      <c r="AA15" s="5">
        <f t="shared" ref="AA15:AA19" si="25">AVERAGE(BZ5:CB5)</f>
        <v>4</v>
      </c>
      <c r="AB15" s="5">
        <f t="shared" ref="AB15:AB19" si="26">AVERAGE(CC5:CE5)</f>
        <v>4</v>
      </c>
      <c r="AC15" s="5">
        <f t="shared" ref="AC15:AC19" si="27">AVERAGE(CF5:CH5)</f>
        <v>3.6667000000000001</v>
      </c>
      <c r="AD15" s="5">
        <f t="shared" ref="AD15:AD19" si="28">AVERAGE(CI5:CK5)</f>
        <v>4</v>
      </c>
      <c r="AE15" s="5">
        <f t="shared" ref="AE15:AE19" si="29">AVERAGE(CL5:CN5)</f>
        <v>3.3332999999999999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</row>
    <row r="16" spans="1:92" x14ac:dyDescent="0.25">
      <c r="A16" s="5" t="s">
        <v>27</v>
      </c>
      <c r="B16" s="5">
        <f t="shared" si="0"/>
        <v>4.3333000000000004</v>
      </c>
      <c r="C16" s="5">
        <f t="shared" si="1"/>
        <v>1.6666999999999998</v>
      </c>
      <c r="D16" s="5">
        <f t="shared" si="2"/>
        <v>3.1111</v>
      </c>
      <c r="E16" s="5">
        <f t="shared" si="3"/>
        <v>4.1111000000000004</v>
      </c>
      <c r="F16" s="5">
        <f t="shared" si="4"/>
        <v>3</v>
      </c>
      <c r="G16" s="5">
        <f t="shared" si="5"/>
        <v>4.3333000000000004</v>
      </c>
      <c r="H16" s="5">
        <f t="shared" si="6"/>
        <v>1.7778</v>
      </c>
      <c r="I16" s="5">
        <f t="shared" si="7"/>
        <v>3.2221999999999995</v>
      </c>
      <c r="J16" s="5">
        <f t="shared" si="8"/>
        <v>4.333333333333333</v>
      </c>
      <c r="K16" s="5">
        <f t="shared" si="9"/>
        <v>3.3333333333333335</v>
      </c>
      <c r="L16" s="5">
        <f t="shared" si="10"/>
        <v>4</v>
      </c>
      <c r="M16" s="5">
        <f t="shared" si="11"/>
        <v>4</v>
      </c>
      <c r="N16" s="5">
        <f t="shared" si="12"/>
        <v>4.6666999999999996</v>
      </c>
      <c r="O16" s="5">
        <f t="shared" si="13"/>
        <v>5</v>
      </c>
      <c r="P16" s="5">
        <f t="shared" si="14"/>
        <v>5</v>
      </c>
      <c r="Q16" s="5">
        <f t="shared" si="15"/>
        <v>4.6666999999999996</v>
      </c>
      <c r="R16" s="5">
        <f t="shared" si="16"/>
        <v>3.6667000000000001</v>
      </c>
      <c r="S16" s="5">
        <f t="shared" si="17"/>
        <v>1.1111</v>
      </c>
      <c r="T16" s="5">
        <f t="shared" si="18"/>
        <v>4.5555666666666665</v>
      </c>
      <c r="U16" s="5">
        <f t="shared" si="19"/>
        <v>3.444466666666667</v>
      </c>
      <c r="V16" s="5">
        <f t="shared" si="20"/>
        <v>4.4444333333333335</v>
      </c>
      <c r="W16" s="5">
        <f t="shared" si="21"/>
        <v>3.7777666666666665</v>
      </c>
      <c r="X16" s="5">
        <f t="shared" si="22"/>
        <v>1</v>
      </c>
      <c r="Y16" s="5">
        <f t="shared" si="23"/>
        <v>4</v>
      </c>
      <c r="Z16" s="5">
        <f t="shared" si="24"/>
        <v>3.7777666666666665</v>
      </c>
      <c r="AA16" s="5">
        <f t="shared" si="25"/>
        <v>4.6666999999999996</v>
      </c>
      <c r="AB16" s="5">
        <f t="shared" si="26"/>
        <v>5</v>
      </c>
      <c r="AC16" s="5">
        <f t="shared" si="27"/>
        <v>4.3333000000000004</v>
      </c>
      <c r="AD16" s="5">
        <f t="shared" si="28"/>
        <v>5</v>
      </c>
      <c r="AE16" s="5">
        <f t="shared" si="29"/>
        <v>4.6666999999999996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</row>
    <row r="17" spans="1:92" x14ac:dyDescent="0.25">
      <c r="A17" s="5" t="s">
        <v>28</v>
      </c>
      <c r="B17" s="5">
        <f t="shared" si="0"/>
        <v>4.2222000000000008</v>
      </c>
      <c r="C17" s="5">
        <f t="shared" si="1"/>
        <v>1.6666666666666667</v>
      </c>
      <c r="D17" s="5">
        <f t="shared" si="2"/>
        <v>2.7778000000000005</v>
      </c>
      <c r="E17" s="5">
        <f t="shared" si="3"/>
        <v>3.7778000000000005</v>
      </c>
      <c r="F17" s="5">
        <f t="shared" si="4"/>
        <v>4</v>
      </c>
      <c r="G17" s="5">
        <f t="shared" si="5"/>
        <v>4.0000000000000009</v>
      </c>
      <c r="H17" s="5">
        <f t="shared" si="6"/>
        <v>2.1111333333333335</v>
      </c>
      <c r="I17" s="5">
        <f t="shared" si="7"/>
        <v>3</v>
      </c>
      <c r="J17" s="5">
        <f t="shared" si="8"/>
        <v>3.8889</v>
      </c>
      <c r="K17" s="5">
        <f t="shared" si="9"/>
        <v>4.3333000000000004</v>
      </c>
      <c r="L17" s="5">
        <f t="shared" si="10"/>
        <v>4.3333000000000004</v>
      </c>
      <c r="M17" s="5">
        <f t="shared" si="11"/>
        <v>2.8889</v>
      </c>
      <c r="N17" s="5">
        <f t="shared" si="12"/>
        <v>3.555566666666667</v>
      </c>
      <c r="O17" s="5">
        <f t="shared" si="13"/>
        <v>4.3333000000000004</v>
      </c>
      <c r="P17" s="5">
        <f t="shared" si="14"/>
        <v>4.5555666666666665</v>
      </c>
      <c r="Q17" s="5">
        <f t="shared" si="15"/>
        <v>3.8889</v>
      </c>
      <c r="R17" s="5">
        <f t="shared" si="16"/>
        <v>4.111133333333334</v>
      </c>
      <c r="S17" s="5">
        <f t="shared" si="17"/>
        <v>3</v>
      </c>
      <c r="T17" s="5">
        <f t="shared" si="18"/>
        <v>4.333333333333333</v>
      </c>
      <c r="U17" s="5">
        <f t="shared" si="19"/>
        <v>2.444433333333333</v>
      </c>
      <c r="V17" s="5">
        <f t="shared" si="20"/>
        <v>4.2222000000000008</v>
      </c>
      <c r="W17" s="5">
        <f t="shared" si="21"/>
        <v>4.5555666666666665</v>
      </c>
      <c r="X17" s="5">
        <f t="shared" si="22"/>
        <v>2.6667000000000001</v>
      </c>
      <c r="Y17" s="5">
        <f t="shared" si="23"/>
        <v>4.4444333333333335</v>
      </c>
      <c r="Z17" s="5">
        <f t="shared" si="24"/>
        <v>2.8889</v>
      </c>
      <c r="AA17" s="5">
        <f t="shared" si="25"/>
        <v>4.6666999999999996</v>
      </c>
      <c r="AB17" s="5">
        <f t="shared" si="26"/>
        <v>5</v>
      </c>
      <c r="AC17" s="5">
        <f t="shared" si="27"/>
        <v>4.3333000000000004</v>
      </c>
      <c r="AD17" s="5">
        <f t="shared" si="28"/>
        <v>4.6666999999999996</v>
      </c>
      <c r="AE17" s="5">
        <f t="shared" si="29"/>
        <v>4.1111000000000004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</row>
    <row r="18" spans="1:92" x14ac:dyDescent="0.25">
      <c r="A18" s="5" t="s">
        <v>29</v>
      </c>
      <c r="B18" s="5">
        <f t="shared" si="0"/>
        <v>4.3333000000000004</v>
      </c>
      <c r="C18" s="5">
        <f t="shared" si="1"/>
        <v>2.2221999999999995</v>
      </c>
      <c r="D18" s="5">
        <f t="shared" si="2"/>
        <v>2.6667000000000001</v>
      </c>
      <c r="E18" s="5">
        <f t="shared" si="3"/>
        <v>3.8889</v>
      </c>
      <c r="F18" s="5">
        <f t="shared" si="4"/>
        <v>4.1111000000000004</v>
      </c>
      <c r="G18" s="5">
        <f t="shared" si="5"/>
        <v>4.3333000000000004</v>
      </c>
      <c r="H18" s="5">
        <f t="shared" si="6"/>
        <v>2.3333333333333335</v>
      </c>
      <c r="I18" s="5">
        <f t="shared" si="7"/>
        <v>2.8889</v>
      </c>
      <c r="J18" s="5">
        <f t="shared" si="8"/>
        <v>3.555566666666667</v>
      </c>
      <c r="K18" s="5">
        <f t="shared" si="9"/>
        <v>4</v>
      </c>
      <c r="L18" s="5">
        <f t="shared" si="10"/>
        <v>4.333333333333333</v>
      </c>
      <c r="M18" s="5">
        <f t="shared" si="11"/>
        <v>3.444433333333333</v>
      </c>
      <c r="N18" s="5">
        <f t="shared" si="12"/>
        <v>3.6667000000000001</v>
      </c>
      <c r="O18" s="5">
        <f t="shared" si="13"/>
        <v>4.3333000000000004</v>
      </c>
      <c r="P18" s="5">
        <f t="shared" si="14"/>
        <v>4.6666999999999996</v>
      </c>
      <c r="Q18" s="5">
        <f t="shared" si="15"/>
        <v>3.7777666666666665</v>
      </c>
      <c r="R18" s="5">
        <f t="shared" si="16"/>
        <v>4.2222</v>
      </c>
      <c r="S18" s="5">
        <f t="shared" si="17"/>
        <v>2.6666666666666665</v>
      </c>
      <c r="T18" s="5">
        <f t="shared" si="18"/>
        <v>4.1111000000000004</v>
      </c>
      <c r="U18" s="5">
        <f t="shared" si="19"/>
        <v>2.3333333333333335</v>
      </c>
      <c r="V18" s="5">
        <f t="shared" si="20"/>
        <v>4.3333000000000004</v>
      </c>
      <c r="W18" s="5">
        <f t="shared" si="21"/>
        <v>4.5555666666666665</v>
      </c>
      <c r="X18" s="5">
        <f t="shared" si="22"/>
        <v>2.444466666666667</v>
      </c>
      <c r="Y18" s="5">
        <f t="shared" si="23"/>
        <v>4.4444333333333335</v>
      </c>
      <c r="Z18" s="5">
        <f t="shared" si="24"/>
        <v>2.8889</v>
      </c>
      <c r="AA18" s="5">
        <f t="shared" si="25"/>
        <v>4.7777999999999992</v>
      </c>
      <c r="AB18" s="5">
        <f t="shared" si="26"/>
        <v>4.7777999999999992</v>
      </c>
      <c r="AC18" s="5">
        <f t="shared" si="27"/>
        <v>4.4444333333333335</v>
      </c>
      <c r="AD18" s="5">
        <f t="shared" si="28"/>
        <v>4.7777666666666674</v>
      </c>
      <c r="AE18" s="5">
        <f t="shared" si="29"/>
        <v>4.6666999999999996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</row>
    <row r="19" spans="1:92" x14ac:dyDescent="0.25">
      <c r="A19" s="5" t="s">
        <v>30</v>
      </c>
      <c r="B19" s="5">
        <f t="shared" si="0"/>
        <v>4.4444333333333335</v>
      </c>
      <c r="C19" s="5">
        <f t="shared" si="1"/>
        <v>1.5555666666666668</v>
      </c>
      <c r="D19" s="5">
        <f t="shared" si="2"/>
        <v>2.6666666666666665</v>
      </c>
      <c r="E19" s="5">
        <f t="shared" si="3"/>
        <v>3.6666666666666665</v>
      </c>
      <c r="F19" s="5">
        <f t="shared" si="4"/>
        <v>4.1111000000000004</v>
      </c>
      <c r="G19" s="5">
        <f t="shared" si="5"/>
        <v>4.4444333333333335</v>
      </c>
      <c r="H19" s="5">
        <f t="shared" si="6"/>
        <v>1.6666999999999998</v>
      </c>
      <c r="I19" s="5">
        <f t="shared" si="7"/>
        <v>2.6667000000000001</v>
      </c>
      <c r="J19" s="5">
        <f t="shared" si="8"/>
        <v>3.1111</v>
      </c>
      <c r="K19" s="5">
        <f t="shared" si="9"/>
        <v>4</v>
      </c>
      <c r="L19" s="5">
        <f t="shared" si="10"/>
        <v>4.2222333333333335</v>
      </c>
      <c r="M19" s="5">
        <f t="shared" si="11"/>
        <v>2.8889</v>
      </c>
      <c r="N19" s="5">
        <f t="shared" si="12"/>
        <v>3.7778000000000005</v>
      </c>
      <c r="O19" s="5">
        <f t="shared" si="13"/>
        <v>4.1111000000000004</v>
      </c>
      <c r="P19" s="5">
        <f t="shared" si="14"/>
        <v>4.6666999999999996</v>
      </c>
      <c r="Q19" s="5">
        <f t="shared" si="15"/>
        <v>4.7777666666666674</v>
      </c>
      <c r="R19" s="5">
        <f>AVERAGE(AY9:BA9)</f>
        <v>4.2222333333333326</v>
      </c>
      <c r="S19" s="5">
        <f t="shared" si="17"/>
        <v>2.7777666666666665</v>
      </c>
      <c r="T19" s="5">
        <f t="shared" si="18"/>
        <v>4.5555666666666665</v>
      </c>
      <c r="U19" s="5">
        <f t="shared" si="19"/>
        <v>3.1111</v>
      </c>
      <c r="V19" s="5">
        <f t="shared" si="20"/>
        <v>5</v>
      </c>
      <c r="W19" s="5">
        <f t="shared" si="21"/>
        <v>4.7777999999999992</v>
      </c>
      <c r="X19" s="5">
        <f t="shared" si="22"/>
        <v>3</v>
      </c>
      <c r="Y19" s="5">
        <f t="shared" si="23"/>
        <v>4.5555666666666665</v>
      </c>
      <c r="Z19" s="5">
        <f t="shared" si="24"/>
        <v>3.6666666666666665</v>
      </c>
      <c r="AA19" s="5">
        <f t="shared" si="25"/>
        <v>4.6666999999999996</v>
      </c>
      <c r="AB19" s="5">
        <f t="shared" si="26"/>
        <v>5</v>
      </c>
      <c r="AC19" s="5">
        <f t="shared" si="27"/>
        <v>4.4444333333333335</v>
      </c>
      <c r="AD19" s="5">
        <f t="shared" si="28"/>
        <v>5</v>
      </c>
      <c r="AE19" s="5">
        <f t="shared" si="29"/>
        <v>4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</row>
    <row r="20" spans="1:92" ht="38" customHeight="1" x14ac:dyDescent="0.3">
      <c r="A20" s="27" t="s">
        <v>45</v>
      </c>
      <c r="B20" s="26">
        <f>AVERAGE(B14:B19)</f>
        <v>4.3333166666666676</v>
      </c>
      <c r="C20" s="26">
        <f t="shared" ref="C20:Z20" si="30">AVERAGE(C14:C19)</f>
        <v>1.7777888888888889</v>
      </c>
      <c r="D20" s="26">
        <f t="shared" si="30"/>
        <v>2.7222333333333335</v>
      </c>
      <c r="E20" s="26">
        <f t="shared" si="30"/>
        <v>3.8703777777777781</v>
      </c>
      <c r="F20" s="26">
        <f t="shared" si="30"/>
        <v>3.8333333333333335</v>
      </c>
      <c r="G20" s="26">
        <f t="shared" si="30"/>
        <v>4.3147944444444448</v>
      </c>
      <c r="H20" s="26">
        <f t="shared" si="30"/>
        <v>1.9074222222222224</v>
      </c>
      <c r="I20" s="26">
        <f t="shared" si="30"/>
        <v>2.9074166666666663</v>
      </c>
      <c r="J20" s="26">
        <f t="shared" si="30"/>
        <v>3.6851944444444444</v>
      </c>
      <c r="K20" s="26">
        <f t="shared" si="30"/>
        <v>3.9629555555555558</v>
      </c>
      <c r="L20" s="26">
        <f t="shared" si="30"/>
        <v>4.2222166666666672</v>
      </c>
      <c r="M20" s="26">
        <f t="shared" si="30"/>
        <v>3.2407444444444446</v>
      </c>
      <c r="N20" s="26">
        <f t="shared" si="30"/>
        <v>3.7222388888888887</v>
      </c>
      <c r="O20" s="26">
        <f t="shared" si="30"/>
        <v>4.4444333333333335</v>
      </c>
      <c r="P20" s="26">
        <f t="shared" si="30"/>
        <v>4.6666777777777773</v>
      </c>
      <c r="Q20" s="26">
        <f t="shared" si="30"/>
        <v>4.1481500000000002</v>
      </c>
      <c r="R20" s="26">
        <f t="shared" si="30"/>
        <v>4.0185222222222219</v>
      </c>
      <c r="S20" s="26">
        <f t="shared" si="30"/>
        <v>2.3148111111111107</v>
      </c>
      <c r="T20" s="26">
        <f t="shared" si="30"/>
        <v>4.2777777777777777</v>
      </c>
      <c r="U20" s="26">
        <f t="shared" si="30"/>
        <v>2.7407444444444446</v>
      </c>
      <c r="V20" s="26">
        <f t="shared" si="30"/>
        <v>4.3518444444444446</v>
      </c>
      <c r="W20" s="26">
        <f t="shared" si="30"/>
        <v>4.2037166666666668</v>
      </c>
      <c r="X20" s="26">
        <f t="shared" si="30"/>
        <v>2.148161111111111</v>
      </c>
      <c r="Y20" s="26">
        <f t="shared" si="30"/>
        <v>4.2037055555555556</v>
      </c>
      <c r="Z20" s="26">
        <f t="shared" si="30"/>
        <v>3.1666666666666665</v>
      </c>
      <c r="AA20" s="26">
        <f t="shared" ref="AA20" si="31">AVERAGE(AA14:AA19)</f>
        <v>4.5185333333333331</v>
      </c>
      <c r="AB20" s="26">
        <f t="shared" ref="AB20" si="32">AVERAGE(AB14:AB19)</f>
        <v>4.7962999999999996</v>
      </c>
      <c r="AC20" s="26">
        <f t="shared" ref="AC20" si="33">AVERAGE(AC14:AC19)</f>
        <v>4.2592444444444446</v>
      </c>
      <c r="AD20" s="26">
        <f t="shared" ref="AD20" si="34">AVERAGE(AD14:AD19)</f>
        <v>4.6111111111111116</v>
      </c>
      <c r="AE20" s="26">
        <f t="shared" ref="AE20" si="35">AVERAGE(AE14:AE19)</f>
        <v>4.0185222222222219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</row>
    <row r="21" spans="1:92" ht="38" customHeight="1" thickBot="1" x14ac:dyDescent="0.35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</row>
    <row r="22" spans="1:92" ht="30" customHeight="1" x14ac:dyDescent="0.3">
      <c r="A22" s="61" t="s">
        <v>51</v>
      </c>
      <c r="B22" s="62"/>
      <c r="C22" s="62"/>
      <c r="D22" s="62"/>
      <c r="E22" s="62"/>
      <c r="F22" s="62"/>
      <c r="G22" s="63"/>
      <c r="H22" s="57"/>
      <c r="I22" s="61" t="s">
        <v>58</v>
      </c>
      <c r="J22" s="62"/>
      <c r="K22" s="62"/>
      <c r="L22" s="62"/>
      <c r="M22" s="62"/>
      <c r="N22" s="62"/>
      <c r="O22" s="63"/>
      <c r="P22" s="57"/>
      <c r="Q22" s="57"/>
      <c r="R22" s="57"/>
      <c r="S22" s="57"/>
      <c r="T22" s="57"/>
      <c r="U22" s="5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</row>
    <row r="23" spans="1:92" ht="13" customHeight="1" x14ac:dyDescent="0.3">
      <c r="A23" s="64"/>
      <c r="B23" s="58"/>
      <c r="C23" s="58"/>
      <c r="D23" s="58"/>
      <c r="E23" s="58"/>
      <c r="F23" s="58"/>
      <c r="G23" s="65"/>
      <c r="H23" s="57"/>
      <c r="I23" s="64"/>
      <c r="J23" s="58"/>
      <c r="K23" s="58"/>
      <c r="L23" s="58"/>
      <c r="M23" s="58"/>
      <c r="N23" s="58"/>
      <c r="O23" s="65"/>
      <c r="P23" s="57"/>
      <c r="Q23" s="57"/>
      <c r="R23" s="57"/>
      <c r="S23" s="57"/>
      <c r="T23" s="57"/>
      <c r="U23" s="57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</row>
    <row r="24" spans="1:92" ht="26" x14ac:dyDescent="0.3">
      <c r="A24" s="66" t="s">
        <v>39</v>
      </c>
      <c r="B24" s="59" t="s">
        <v>52</v>
      </c>
      <c r="C24" s="59" t="s">
        <v>53</v>
      </c>
      <c r="D24" s="59" t="s">
        <v>54</v>
      </c>
      <c r="E24" s="59" t="s">
        <v>55</v>
      </c>
      <c r="F24" s="59" t="s">
        <v>56</v>
      </c>
      <c r="G24" s="67" t="s">
        <v>57</v>
      </c>
      <c r="H24" s="56"/>
      <c r="I24" s="66" t="s">
        <v>39</v>
      </c>
      <c r="J24" s="59" t="s">
        <v>52</v>
      </c>
      <c r="K24" s="59" t="s">
        <v>53</v>
      </c>
      <c r="L24" s="59" t="s">
        <v>54</v>
      </c>
      <c r="M24" s="59" t="s">
        <v>55</v>
      </c>
      <c r="N24" s="59" t="s">
        <v>56</v>
      </c>
      <c r="O24" s="67" t="s">
        <v>57</v>
      </c>
      <c r="P24" s="56"/>
      <c r="Q24" s="56"/>
      <c r="R24" s="56"/>
      <c r="S24" s="56"/>
      <c r="T24" s="56"/>
      <c r="U24" s="56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</row>
    <row r="25" spans="1:92" ht="13" x14ac:dyDescent="0.3">
      <c r="A25" s="68" t="s">
        <v>25</v>
      </c>
      <c r="B25" s="60">
        <f>AVERAGE(B14:F14)</f>
        <v>3.26668</v>
      </c>
      <c r="C25" s="60">
        <f>AVERAGE(G14:K14)</f>
        <v>3.3111200000000003</v>
      </c>
      <c r="D25" s="60">
        <f>AVERAGE(L14:P14)</f>
        <v>3.5999933333333338</v>
      </c>
      <c r="E25" s="60">
        <f>AVERAGE(Q14:U14)</f>
        <v>2.9999933333333333</v>
      </c>
      <c r="F25" s="60">
        <f>AVERAGE(V14:Z14)</f>
        <v>2.9555666666666669</v>
      </c>
      <c r="G25" s="69">
        <f>AVERAGE(AA14:AE14)</f>
        <v>4.2444266666666675</v>
      </c>
      <c r="H25" s="56"/>
      <c r="I25" s="68" t="s">
        <v>25</v>
      </c>
      <c r="J25" s="60">
        <f>STDEV(B14:F14)</f>
        <v>1.0110374211669917</v>
      </c>
      <c r="K25" s="60">
        <f>STDEV(G14:K14)</f>
        <v>1.0345705857987646</v>
      </c>
      <c r="L25" s="60">
        <f>STDEV(L14:P14)</f>
        <v>0.76818296120708873</v>
      </c>
      <c r="M25" s="60">
        <f>STDEV(Q14:U14)</f>
        <v>0.83517167609752896</v>
      </c>
      <c r="N25" s="60">
        <f>STDEV(V14:Z14)</f>
        <v>0.93492324937516746</v>
      </c>
      <c r="O25" s="69">
        <f>STDEV(AA14:AE14)</f>
        <v>0.59524639594783413</v>
      </c>
      <c r="P25" s="56"/>
      <c r="Q25" s="56"/>
      <c r="R25" s="56"/>
      <c r="S25" s="56"/>
      <c r="T25" s="56"/>
      <c r="U25" s="56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</row>
    <row r="26" spans="1:92" ht="13" x14ac:dyDescent="0.3">
      <c r="A26" s="68" t="s">
        <v>26</v>
      </c>
      <c r="B26" s="60">
        <f t="shared" ref="B26:B30" si="36">AVERAGE(B15:F15)</f>
        <v>3.3111199999999998</v>
      </c>
      <c r="C26" s="60">
        <f t="shared" ref="C26:C30" si="37">AVERAGE(G15:K15)</f>
        <v>3.3555533333333338</v>
      </c>
      <c r="D26" s="60">
        <f t="shared" ref="D26:D30" si="38">AVERAGE(L15:P15)</f>
        <v>4.2666733333333324</v>
      </c>
      <c r="E26" s="60">
        <f t="shared" ref="E26:E30" si="39">AVERAGE(Q15:U15)</f>
        <v>3.6444466666666662</v>
      </c>
      <c r="F26" s="60">
        <f t="shared" ref="F26:F30" si="40">AVERAGE(V15:Z15)</f>
        <v>3.6444533333333333</v>
      </c>
      <c r="G26" s="69">
        <f t="shared" ref="G26:G30" si="41">AVERAGE(AA15:AE15)</f>
        <v>3.8</v>
      </c>
      <c r="H26" s="56"/>
      <c r="I26" s="68" t="s">
        <v>26</v>
      </c>
      <c r="J26" s="60">
        <f t="shared" ref="J26:J30" si="42">STDEV(B15:F15)</f>
        <v>1.1557691576992744</v>
      </c>
      <c r="K26" s="60">
        <f t="shared" ref="K26:K30" si="43">STDEV(G15:K15)</f>
        <v>1.0610951715614902</v>
      </c>
      <c r="L26" s="60">
        <f t="shared" ref="L26:L30" si="44">STDEV(L15:P15)</f>
        <v>0.58584896726412927</v>
      </c>
      <c r="M26" s="60">
        <f t="shared" ref="M26:M30" si="45">STDEV(Q15:U15)</f>
        <v>0.95063175882614526</v>
      </c>
      <c r="N26" s="60">
        <f t="shared" ref="N26:N30" si="46">STDEV(V15:Z15)</f>
        <v>0.95064169368789131</v>
      </c>
      <c r="O26" s="69">
        <f t="shared" ref="O26:O30" si="47">STDEV(AA15:AE15)</f>
        <v>0.2981517147359713</v>
      </c>
      <c r="P26" s="56"/>
      <c r="Q26" s="56"/>
      <c r="R26" s="56"/>
      <c r="S26" s="56"/>
      <c r="T26" s="56"/>
      <c r="U26" s="56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</row>
    <row r="27" spans="1:92" ht="13" x14ac:dyDescent="0.3">
      <c r="A27" s="68" t="s">
        <v>27</v>
      </c>
      <c r="B27" s="60">
        <f t="shared" si="36"/>
        <v>3.24444</v>
      </c>
      <c r="C27" s="60">
        <f t="shared" si="37"/>
        <v>3.3999933333333332</v>
      </c>
      <c r="D27" s="60">
        <f t="shared" si="38"/>
        <v>4.5333399999999999</v>
      </c>
      <c r="E27" s="60">
        <f t="shared" si="39"/>
        <v>3.4889066666666664</v>
      </c>
      <c r="F27" s="60">
        <f t="shared" si="40"/>
        <v>3.3999933333333332</v>
      </c>
      <c r="G27" s="69">
        <f t="shared" si="41"/>
        <v>4.7333400000000001</v>
      </c>
      <c r="H27" s="56"/>
      <c r="I27" s="68" t="s">
        <v>27</v>
      </c>
      <c r="J27" s="60">
        <f t="shared" si="42"/>
        <v>1.0610737052627404</v>
      </c>
      <c r="K27" s="60">
        <f t="shared" si="43"/>
        <v>1.0499702525944896</v>
      </c>
      <c r="L27" s="60">
        <f t="shared" si="44"/>
        <v>0.50552722775336245</v>
      </c>
      <c r="M27" s="60">
        <f t="shared" si="45"/>
        <v>1.4328739144344373</v>
      </c>
      <c r="N27" s="60">
        <f t="shared" si="46"/>
        <v>1.3689645992906869</v>
      </c>
      <c r="O27" s="69">
        <f t="shared" si="47"/>
        <v>0.27889464498265282</v>
      </c>
      <c r="P27" s="56"/>
      <c r="Q27" s="56"/>
      <c r="R27" s="56"/>
      <c r="S27" s="56"/>
      <c r="T27" s="56"/>
      <c r="U27" s="56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</row>
    <row r="28" spans="1:92" ht="13" x14ac:dyDescent="0.3">
      <c r="A28" s="68" t="s">
        <v>28</v>
      </c>
      <c r="B28" s="60">
        <f t="shared" si="36"/>
        <v>3.2888933333333341</v>
      </c>
      <c r="C28" s="60">
        <f t="shared" si="37"/>
        <v>3.4666666666666672</v>
      </c>
      <c r="D28" s="60">
        <f t="shared" si="38"/>
        <v>3.9333266666666673</v>
      </c>
      <c r="E28" s="60">
        <f t="shared" si="39"/>
        <v>3.5555599999999998</v>
      </c>
      <c r="F28" s="60">
        <f t="shared" si="40"/>
        <v>3.7555600000000005</v>
      </c>
      <c r="G28" s="69">
        <f t="shared" si="41"/>
        <v>4.5555599999999998</v>
      </c>
      <c r="H28" s="56"/>
      <c r="I28" s="68" t="s">
        <v>28</v>
      </c>
      <c r="J28" s="60">
        <f t="shared" si="42"/>
        <v>1.0616731497447254</v>
      </c>
      <c r="K28" s="60">
        <f t="shared" si="43"/>
        <v>0.90402256086646082</v>
      </c>
      <c r="L28" s="60">
        <f t="shared" si="44"/>
        <v>0.69653959542871302</v>
      </c>
      <c r="M28" s="60">
        <f t="shared" si="45"/>
        <v>0.80124247661574755</v>
      </c>
      <c r="N28" s="60">
        <f t="shared" si="46"/>
        <v>0.90402235604116465</v>
      </c>
      <c r="O28" s="69">
        <f t="shared" si="47"/>
        <v>0.34248186521332752</v>
      </c>
      <c r="P28" s="56"/>
      <c r="Q28" s="56"/>
      <c r="R28" s="56"/>
      <c r="S28" s="56"/>
      <c r="T28" s="56"/>
      <c r="U28" s="56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</row>
    <row r="29" spans="1:92" ht="13" x14ac:dyDescent="0.3">
      <c r="A29" s="68" t="s">
        <v>29</v>
      </c>
      <c r="B29" s="60">
        <f t="shared" si="36"/>
        <v>3.4444400000000002</v>
      </c>
      <c r="C29" s="60">
        <f t="shared" si="37"/>
        <v>3.4222200000000003</v>
      </c>
      <c r="D29" s="60">
        <f t="shared" si="38"/>
        <v>4.088893333333333</v>
      </c>
      <c r="E29" s="60">
        <f t="shared" si="39"/>
        <v>3.4222133333333331</v>
      </c>
      <c r="F29" s="60">
        <f t="shared" si="40"/>
        <v>3.7333333333333334</v>
      </c>
      <c r="G29" s="69">
        <f t="shared" si="41"/>
        <v>4.6888999999999994</v>
      </c>
      <c r="H29" s="56"/>
      <c r="I29" s="68" t="s">
        <v>29</v>
      </c>
      <c r="J29" s="60">
        <f t="shared" si="42"/>
        <v>0.93952148352232889</v>
      </c>
      <c r="K29" s="60">
        <f t="shared" si="43"/>
        <v>0.81421468660844554</v>
      </c>
      <c r="L29" s="60">
        <f t="shared" si="44"/>
        <v>0.51159602682846217</v>
      </c>
      <c r="M29" s="60">
        <f t="shared" si="45"/>
        <v>0.8656604558242107</v>
      </c>
      <c r="N29" s="60">
        <f t="shared" si="46"/>
        <v>0.98943617839207354</v>
      </c>
      <c r="O29" s="69">
        <f t="shared" si="47"/>
        <v>0.14487968763387377</v>
      </c>
      <c r="P29" s="56"/>
      <c r="Q29" s="56"/>
      <c r="R29" s="56"/>
      <c r="S29" s="56"/>
      <c r="T29" s="56"/>
      <c r="U29" s="56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</row>
    <row r="30" spans="1:92" ht="13.5" thickBot="1" x14ac:dyDescent="0.35">
      <c r="A30" s="70" t="s">
        <v>30</v>
      </c>
      <c r="B30" s="71">
        <f t="shared" si="36"/>
        <v>3.2888866666666665</v>
      </c>
      <c r="C30" s="71">
        <f t="shared" si="37"/>
        <v>3.177786666666667</v>
      </c>
      <c r="D30" s="71">
        <f t="shared" si="38"/>
        <v>3.9333466666666665</v>
      </c>
      <c r="E30" s="71">
        <f t="shared" si="39"/>
        <v>3.8888866666666666</v>
      </c>
      <c r="F30" s="71">
        <f t="shared" si="40"/>
        <v>4.2000066666666669</v>
      </c>
      <c r="G30" s="72">
        <f>AVERAGE(AA19:AE19)</f>
        <v>4.6222266666666663</v>
      </c>
      <c r="H30" s="56"/>
      <c r="I30" s="70" t="s">
        <v>30</v>
      </c>
      <c r="J30" s="60">
        <f t="shared" si="42"/>
        <v>1.1774545154225244</v>
      </c>
      <c r="K30" s="60">
        <f t="shared" si="43"/>
        <v>1.0988025471191611</v>
      </c>
      <c r="L30" s="60">
        <f t="shared" si="44"/>
        <v>0.66481622840868915</v>
      </c>
      <c r="M30" s="60">
        <f t="shared" si="45"/>
        <v>0.89236058157874498</v>
      </c>
      <c r="N30" s="60">
        <f t="shared" si="46"/>
        <v>0.84034590179679114</v>
      </c>
      <c r="O30" s="69">
        <f t="shared" si="47"/>
        <v>0.42017251047106297</v>
      </c>
      <c r="P30" s="56"/>
      <c r="Q30" s="56"/>
      <c r="R30" s="56"/>
      <c r="S30" s="56"/>
      <c r="T30" s="56"/>
      <c r="U30" s="56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</row>
    <row r="31" spans="1:92" ht="13" thickBot="1" x14ac:dyDescent="0.3">
      <c r="A31" s="1"/>
      <c r="B31" s="1"/>
      <c r="C31" s="1"/>
      <c r="D31" s="1"/>
      <c r="E31" s="1">
        <f>AVERAGE(E25:E30)</f>
        <v>3.5000011111111111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</row>
    <row r="32" spans="1:92" s="12" customFormat="1" ht="46" customHeight="1" x14ac:dyDescent="0.25">
      <c r="A32" s="50" t="s">
        <v>37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2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</row>
    <row r="33" spans="1:92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4"/>
      <c r="V33" s="1"/>
      <c r="W33" s="1"/>
      <c r="X33" s="9"/>
      <c r="Y33" s="9"/>
      <c r="Z33" s="9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</row>
    <row r="34" spans="1:92" ht="39" customHeight="1" x14ac:dyDescent="0.3">
      <c r="A34" s="15" t="s">
        <v>2</v>
      </c>
      <c r="B34" s="16" t="s">
        <v>3</v>
      </c>
      <c r="C34" s="1"/>
      <c r="D34" s="17"/>
      <c r="E34" s="42" t="s">
        <v>4</v>
      </c>
      <c r="F34" s="42"/>
      <c r="G34" s="42"/>
      <c r="H34" s="1"/>
      <c r="I34" s="1"/>
      <c r="J34" s="1"/>
      <c r="K34" s="42" t="s">
        <v>5</v>
      </c>
      <c r="L34" s="42"/>
      <c r="M34" s="42"/>
      <c r="N34" s="1"/>
      <c r="O34" s="16"/>
      <c r="P34" s="16"/>
      <c r="Q34" s="16" t="s">
        <v>9</v>
      </c>
      <c r="R34" s="16"/>
      <c r="S34" s="16"/>
      <c r="T34" s="1"/>
      <c r="U34" s="14"/>
      <c r="V34" s="1"/>
      <c r="W34" s="1"/>
      <c r="X34" s="1"/>
      <c r="Y34" s="10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</row>
    <row r="35" spans="1:92" x14ac:dyDescent="0.25">
      <c r="A35" s="29" t="s">
        <v>46</v>
      </c>
      <c r="B35" s="5">
        <f>AVERAGE(C4:E9)</f>
        <v>4.3333166666666667</v>
      </c>
      <c r="C35" s="1"/>
      <c r="D35" s="1"/>
      <c r="E35" s="29" t="s">
        <v>46</v>
      </c>
      <c r="F35" s="5">
        <f>AVERAGE(R4:T9)</f>
        <v>4.3147944444444439</v>
      </c>
      <c r="G35" s="1"/>
      <c r="H35" s="1"/>
      <c r="I35" s="1"/>
      <c r="J35" s="1"/>
      <c r="K35" s="29" t="s">
        <v>46</v>
      </c>
      <c r="L35" s="5">
        <f>AVERAGE(AG4:AI9)</f>
        <v>4.7222166666666663</v>
      </c>
      <c r="M35" s="1"/>
      <c r="N35" s="1"/>
      <c r="O35" s="7" t="s">
        <v>10</v>
      </c>
      <c r="P35" s="5">
        <f>AVERAGE(C4:Q9)</f>
        <v>3.30741</v>
      </c>
      <c r="Q35" s="1"/>
      <c r="R35" s="40" t="s">
        <v>13</v>
      </c>
      <c r="S35" s="1">
        <f>STDEV(C4:Q9)</f>
        <v>0.97819017130984831</v>
      </c>
      <c r="T35" s="1"/>
      <c r="U35" s="14"/>
      <c r="V35" s="1"/>
      <c r="W35" s="1"/>
      <c r="X35" s="1"/>
      <c r="Y35" s="10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</row>
    <row r="36" spans="1:92" x14ac:dyDescent="0.25">
      <c r="A36" s="29" t="s">
        <v>47</v>
      </c>
      <c r="B36" s="5">
        <f>AVERAGE(F4:H9)</f>
        <v>1.7777888888888893</v>
      </c>
      <c r="E36" s="29" t="s">
        <v>47</v>
      </c>
      <c r="F36" s="5">
        <f>AVERAGE(U4:W9)</f>
        <v>1.9074222222222221</v>
      </c>
      <c r="K36" s="29" t="s">
        <v>47</v>
      </c>
      <c r="L36" s="5">
        <f>AVERAGE(AJ4:AL9)</f>
        <v>3.2407444444444442</v>
      </c>
      <c r="O36" s="7" t="s">
        <v>11</v>
      </c>
      <c r="P36" s="5">
        <f>AVERAGE(R4:AF9)</f>
        <v>3.3555566666666663</v>
      </c>
      <c r="R36" s="40"/>
      <c r="S36" s="1">
        <f>STDEV(R4:AF9)</f>
        <v>0.935884795446699</v>
      </c>
      <c r="U36" s="18"/>
      <c r="X36" s="1"/>
      <c r="Y36" s="10"/>
    </row>
    <row r="37" spans="1:92" x14ac:dyDescent="0.25">
      <c r="A37" s="29" t="s">
        <v>48</v>
      </c>
      <c r="B37" s="5">
        <f>AVERAGE(I4:K9)</f>
        <v>2.7222333333333331</v>
      </c>
      <c r="E37" s="29" t="s">
        <v>48</v>
      </c>
      <c r="F37" s="5">
        <f>AVERAGE(X4:Z9)</f>
        <v>2.9074166666666668</v>
      </c>
      <c r="K37" s="29" t="s">
        <v>48</v>
      </c>
      <c r="L37" s="5">
        <f>AVERAGE(AM4:AO9)</f>
        <v>3.7222388888888887</v>
      </c>
      <c r="O37" s="7" t="s">
        <v>12</v>
      </c>
      <c r="P37" s="5">
        <f>AVERAGE(AG4:AU9)</f>
        <v>4.1592622222222211</v>
      </c>
      <c r="R37" s="40"/>
      <c r="S37" s="1">
        <f>STDEV(AG4:AU9)</f>
        <v>0.71584143033793979</v>
      </c>
      <c r="U37" s="18"/>
      <c r="X37" s="1"/>
      <c r="Y37" s="10"/>
    </row>
    <row r="38" spans="1:92" x14ac:dyDescent="0.25">
      <c r="A38" s="29" t="s">
        <v>49</v>
      </c>
      <c r="B38" s="5">
        <f>AVERAGE(L4:N9)</f>
        <v>3.8703777777777777</v>
      </c>
      <c r="E38" s="29" t="s">
        <v>49</v>
      </c>
      <c r="F38" s="5">
        <f>AVERAGE(AA4:AC9)</f>
        <v>3.6851944444444444</v>
      </c>
      <c r="K38" s="29" t="s">
        <v>49</v>
      </c>
      <c r="L38" s="5">
        <f>AVERAGE(AP4:AR9)</f>
        <v>4.4444333333333326</v>
      </c>
      <c r="U38" s="18"/>
      <c r="X38" s="1"/>
      <c r="Y38" s="10"/>
    </row>
    <row r="39" spans="1:92" x14ac:dyDescent="0.25">
      <c r="A39" s="29" t="s">
        <v>50</v>
      </c>
      <c r="B39" s="5">
        <f>AVERAGE(O4:Q9)</f>
        <v>3.8333333333333335</v>
      </c>
      <c r="E39" s="29" t="s">
        <v>50</v>
      </c>
      <c r="F39" s="5">
        <f>AVERAGE(AD4:AF9)</f>
        <v>3.9629555555555558</v>
      </c>
      <c r="J39" s="1"/>
      <c r="K39" s="29" t="s">
        <v>50</v>
      </c>
      <c r="L39" s="5">
        <f>AVERAGE(AS4:AU9)</f>
        <v>4.666677777777779</v>
      </c>
      <c r="U39" s="18"/>
      <c r="X39" s="1"/>
      <c r="Y39" s="10"/>
    </row>
    <row r="40" spans="1:92" x14ac:dyDescent="0.25">
      <c r="A40" s="19"/>
      <c r="U40" s="18"/>
      <c r="X40" s="1"/>
      <c r="Y40" s="10"/>
    </row>
    <row r="41" spans="1:92" x14ac:dyDescent="0.25">
      <c r="A41" s="19"/>
      <c r="U41" s="18"/>
      <c r="X41" s="1"/>
      <c r="Y41" s="10"/>
    </row>
    <row r="42" spans="1:92" x14ac:dyDescent="0.25">
      <c r="A42" s="19"/>
      <c r="U42" s="18"/>
      <c r="X42" s="1"/>
      <c r="Y42" s="10"/>
    </row>
    <row r="43" spans="1:92" x14ac:dyDescent="0.25">
      <c r="A43" s="19"/>
      <c r="U43" s="18"/>
      <c r="X43" s="1"/>
      <c r="Y43" s="10"/>
    </row>
    <row r="44" spans="1:92" ht="30" customHeight="1" x14ac:dyDescent="0.3">
      <c r="A44" s="43" t="s">
        <v>6</v>
      </c>
      <c r="B44" s="44"/>
      <c r="E44" s="20" t="s">
        <v>7</v>
      </c>
      <c r="F44" s="20"/>
      <c r="G44" s="21"/>
      <c r="K44" s="44" t="s">
        <v>8</v>
      </c>
      <c r="L44" s="44"/>
      <c r="M44" s="44"/>
      <c r="O44" s="44" t="s">
        <v>14</v>
      </c>
      <c r="P44" s="44"/>
      <c r="Q44" s="44"/>
      <c r="R44" s="44"/>
      <c r="S44" s="44"/>
      <c r="U44" s="18"/>
    </row>
    <row r="45" spans="1:92" x14ac:dyDescent="0.25">
      <c r="A45" s="29" t="s">
        <v>46</v>
      </c>
      <c r="B45" s="5">
        <f>AVERAGE(AV4:AX9)</f>
        <v>4.1481499999999993</v>
      </c>
      <c r="E45" s="29" t="s">
        <v>46</v>
      </c>
      <c r="F45" s="5">
        <f>AVERAGE(BK4:BM9)</f>
        <v>4.3518444444444446</v>
      </c>
      <c r="K45" s="29" t="s">
        <v>46</v>
      </c>
      <c r="L45" s="5">
        <f>AVERAGE(BZ4:CB9)</f>
        <v>4.518533333333334</v>
      </c>
      <c r="O45" s="7" t="s">
        <v>10</v>
      </c>
      <c r="P45" s="5">
        <f>AVERAGE(AV4:BJ9)</f>
        <v>3.5000011111111116</v>
      </c>
      <c r="R45" s="40" t="s">
        <v>13</v>
      </c>
      <c r="S45" s="1">
        <f>STDEV(AV4:BJ9)</f>
        <v>0.97311262988833436</v>
      </c>
      <c r="U45" s="18"/>
    </row>
    <row r="46" spans="1:92" x14ac:dyDescent="0.25">
      <c r="A46" s="29" t="s">
        <v>47</v>
      </c>
      <c r="B46" s="5">
        <f>AVERAGE(AY4:BA9)</f>
        <v>4.0185222222222219</v>
      </c>
      <c r="E46" s="29" t="s">
        <v>47</v>
      </c>
      <c r="F46" s="5">
        <f>AVERAGE(BN4:BP9)</f>
        <v>4.2037166666666677</v>
      </c>
      <c r="K46" s="29" t="s">
        <v>47</v>
      </c>
      <c r="L46" s="5">
        <f>AVERAGE(CC4:CE9)</f>
        <v>4.7962999999999996</v>
      </c>
      <c r="O46" s="7" t="s">
        <v>11</v>
      </c>
      <c r="P46" s="5">
        <f>AVERAGE(BK4:BY9)</f>
        <v>3.6148188888888884</v>
      </c>
      <c r="R46" s="40"/>
      <c r="S46" s="1">
        <f>STDEV(BK4:BY9)</f>
        <v>1.0116790934215099</v>
      </c>
      <c r="U46" s="18"/>
    </row>
    <row r="47" spans="1:92" x14ac:dyDescent="0.25">
      <c r="A47" s="29" t="s">
        <v>48</v>
      </c>
      <c r="B47" s="5">
        <f>AVERAGE(BB4:BD9)</f>
        <v>2.3148111111111112</v>
      </c>
      <c r="E47" s="29" t="s">
        <v>48</v>
      </c>
      <c r="F47" s="5">
        <f>AVERAGE(BQ4:BS9)</f>
        <v>2.148161111111111</v>
      </c>
      <c r="K47" s="29" t="s">
        <v>48</v>
      </c>
      <c r="L47" s="5">
        <f>AVERAGE(CF4:CH9)</f>
        <v>4.2592444444444446</v>
      </c>
      <c r="O47" s="7" t="s">
        <v>12</v>
      </c>
      <c r="P47" s="5">
        <f>AVERAGE(BZ4:CN9)</f>
        <v>4.4407422222222213</v>
      </c>
      <c r="R47" s="40"/>
      <c r="S47" s="1">
        <f>STDEV(BZ4:CN9)</f>
        <v>0.48402765358315919</v>
      </c>
      <c r="U47" s="18"/>
    </row>
    <row r="48" spans="1:92" x14ac:dyDescent="0.25">
      <c r="A48" s="29" t="s">
        <v>49</v>
      </c>
      <c r="B48" s="5">
        <f>AVERAGE(BE4:BG9)</f>
        <v>4.2777777777777786</v>
      </c>
      <c r="E48" s="29" t="s">
        <v>49</v>
      </c>
      <c r="F48" s="5">
        <f>AVERAGE(BT4:BV9)</f>
        <v>4.2037055555555556</v>
      </c>
      <c r="K48" s="29" t="s">
        <v>49</v>
      </c>
      <c r="L48" s="5">
        <f>AVERAGE(CI4:CK9)</f>
        <v>4.6111111111111107</v>
      </c>
      <c r="U48" s="18"/>
    </row>
    <row r="49" spans="1:21" x14ac:dyDescent="0.25">
      <c r="A49" s="29" t="s">
        <v>50</v>
      </c>
      <c r="B49" s="5">
        <f>AVERAGE(BH4:BJ9)</f>
        <v>2.7407444444444442</v>
      </c>
      <c r="E49" s="29" t="s">
        <v>50</v>
      </c>
      <c r="F49" s="5">
        <f>AVERAGE(BW4:BY9)</f>
        <v>3.1666666666666665</v>
      </c>
      <c r="K49" s="29" t="s">
        <v>50</v>
      </c>
      <c r="L49" s="5">
        <f>AVERAGE(CL4:CN9)</f>
        <v>4.0185222222222219</v>
      </c>
      <c r="U49" s="18"/>
    </row>
    <row r="50" spans="1:21" ht="13" thickBot="1" x14ac:dyDescent="0.3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4"/>
    </row>
  </sheetData>
  <mergeCells count="53">
    <mergeCell ref="V12:Z12"/>
    <mergeCell ref="AA12:AE12"/>
    <mergeCell ref="A11:AE11"/>
    <mergeCell ref="A32:U32"/>
    <mergeCell ref="B12:F12"/>
    <mergeCell ref="G12:K12"/>
    <mergeCell ref="L12:P12"/>
    <mergeCell ref="Q12:U12"/>
    <mergeCell ref="A22:G23"/>
    <mergeCell ref="I22:O23"/>
    <mergeCell ref="R45:R47"/>
    <mergeCell ref="BZ1:CN1"/>
    <mergeCell ref="E34:G34"/>
    <mergeCell ref="K34:M34"/>
    <mergeCell ref="A44:B44"/>
    <mergeCell ref="K44:M44"/>
    <mergeCell ref="R35:R37"/>
    <mergeCell ref="O44:S44"/>
    <mergeCell ref="C1:Q1"/>
    <mergeCell ref="R1:AF1"/>
    <mergeCell ref="AG1:AU1"/>
    <mergeCell ref="AV1:BI1"/>
    <mergeCell ref="BK1:BY1"/>
    <mergeCell ref="BZ2:CB2"/>
    <mergeCell ref="CC2:CE2"/>
    <mergeCell ref="CF2:CH2"/>
    <mergeCell ref="CI2:CK2"/>
    <mergeCell ref="CL2:CN2"/>
    <mergeCell ref="BK2:BM2"/>
    <mergeCell ref="BN2:BP2"/>
    <mergeCell ref="BQ2:BS2"/>
    <mergeCell ref="BT2:BV2"/>
    <mergeCell ref="BW2:BY2"/>
    <mergeCell ref="AV2:AX2"/>
    <mergeCell ref="AY2:BA2"/>
    <mergeCell ref="BB2:BD2"/>
    <mergeCell ref="BE2:BG2"/>
    <mergeCell ref="BH2:BJ2"/>
    <mergeCell ref="AG2:AI2"/>
    <mergeCell ref="AJ2:AL2"/>
    <mergeCell ref="AM2:AO2"/>
    <mergeCell ref="AP2:AR2"/>
    <mergeCell ref="AS2:AU2"/>
    <mergeCell ref="R2:T2"/>
    <mergeCell ref="U2:W2"/>
    <mergeCell ref="X2:Z2"/>
    <mergeCell ref="AA2:AC2"/>
    <mergeCell ref="AD2:AF2"/>
    <mergeCell ref="C2:E2"/>
    <mergeCell ref="F2:H2"/>
    <mergeCell ref="I2:K2"/>
    <mergeCell ref="L2:N2"/>
    <mergeCell ref="O2:Q2"/>
  </mergeCells>
  <pageMargins left="0.75" right="0.75" top="1" bottom="1" header="0.5" footer="0.5"/>
  <pageSetup orientation="portrait" r:id="rId1"/>
  <headerFooter>
    <oddFooter>&amp;L_x000D_&amp;1#&amp;"Calibri"&amp;10&amp;K000000 LUT Group Confidential - Other information (3Y)</oddFooter>
  </headerFooter>
  <ignoredErrors>
    <ignoredError sqref="B14:F19 G14:K19 L14:P19 Q14:U19 V14:AE19" formulaRange="1"/>
  </ignoredErrors>
</worksheet>
</file>

<file path=docMetadata/LabelInfo.xml><?xml version="1.0" encoding="utf-8"?>
<clbl:labelList xmlns:clbl="http://schemas.microsoft.com/office/2020/mipLabelMetadata">
  <clbl:label id="{4306014c-c088-4a50-b503-4830bda7971c}" enabled="1" method="Standard" siteId="{9d97530e-8f27-4137-a2a9-5cb4dcf26f2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Syed Naqvi (LUT)</cp:lastModifiedBy>
  <dcterms:modified xsi:type="dcterms:W3CDTF">2026-09-10T09:50:27Z</dcterms:modified>
  <cp:category/>
</cp:coreProperties>
</file>