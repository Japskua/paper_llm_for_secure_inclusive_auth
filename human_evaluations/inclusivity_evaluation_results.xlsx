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ut-my.sharepoint.com/personal/syed_naqvi_lut_fi/Documents/IST SP October 2025/"/>
    </mc:Choice>
  </mc:AlternateContent>
  <xr:revisionPtr revIDLastSave="226" documentId="13_ncr:1_{18B474E2-0E7D-4B4E-B416-F6F6B70B1DB7}" xr6:coauthVersionLast="47" xr6:coauthVersionMax="47" xr10:uidLastSave="{4E888D90-FE70-4A2E-B9D6-C61752529EE7}"/>
  <bookViews>
    <workbookView minimized="1" xWindow="9410" yWindow="1670" windowWidth="2000" windowHeight="58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3" i="1" l="1"/>
  <c r="AR13" i="1"/>
  <c r="AO13" i="1"/>
  <c r="AL13" i="1"/>
  <c r="AI13" i="1"/>
  <c r="AF13" i="1"/>
  <c r="AC13" i="1"/>
  <c r="Z13" i="1"/>
  <c r="W13" i="1"/>
  <c r="T13" i="1"/>
  <c r="Q13" i="1"/>
  <c r="N13" i="1"/>
  <c r="K13" i="1"/>
  <c r="H13" i="1"/>
  <c r="E13" i="1"/>
  <c r="U27" i="1"/>
  <c r="E28" i="1"/>
  <c r="U28" i="1"/>
  <c r="S28" i="1"/>
  <c r="P28" i="1"/>
  <c r="M28" i="1"/>
  <c r="O30" i="1"/>
  <c r="S27" i="1"/>
  <c r="P27" i="1"/>
  <c r="M27" i="1"/>
  <c r="I28" i="1"/>
  <c r="H28" i="1"/>
  <c r="G28" i="1"/>
  <c r="F28" i="1"/>
  <c r="AO21" i="1"/>
  <c r="AO20" i="1"/>
  <c r="AO19" i="1"/>
  <c r="AO18" i="1"/>
  <c r="AO17" i="1"/>
  <c r="W21" i="1"/>
  <c r="W20" i="1"/>
  <c r="W19" i="1"/>
  <c r="W18" i="1"/>
  <c r="W17" i="1"/>
  <c r="E21" i="1"/>
  <c r="E20" i="1"/>
  <c r="E19" i="1"/>
  <c r="E18" i="1"/>
  <c r="E17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E12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E11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E10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F9" i="1"/>
  <c r="E9" i="1"/>
</calcChain>
</file>

<file path=xl/sharedStrings.xml><?xml version="1.0" encoding="utf-8"?>
<sst xmlns="http://schemas.openxmlformats.org/spreadsheetml/2006/main" count="123" uniqueCount="57">
  <si>
    <t>Participant</t>
  </si>
  <si>
    <t>Participation consent</t>
  </si>
  <si>
    <t>Current role</t>
  </si>
  <si>
    <t>Number of years of experience</t>
  </si>
  <si>
    <t>Attention</t>
  </si>
  <si>
    <t>Memory</t>
  </si>
  <si>
    <t>Comprehension</t>
  </si>
  <si>
    <t>Decision Making</t>
  </si>
  <si>
    <t>Learning</t>
  </si>
  <si>
    <t>-</t>
  </si>
  <si>
    <t>I agree to participate in the survey</t>
  </si>
  <si>
    <t/>
  </si>
  <si>
    <t>User interface is clean and does not have moving images or pop-ups.</t>
  </si>
  <si>
    <t>Important items clearly stand out.</t>
  </si>
  <si>
    <t>It is easy for to find out on the screen what she needs quickly.</t>
  </si>
  <si>
    <t>The user does not need to remember many rules or steps.</t>
  </si>
  <si>
    <t>Options like Password manager, autofill, or “remember me” are present</t>
  </si>
  <si>
    <t>The user can easily recognize saved or familiar items.</t>
  </si>
  <si>
    <t>Text is short, clear, and easy to read.</t>
  </si>
  <si>
    <t>Error messages describe the problem and the way to fix it.</t>
  </si>
  <si>
    <t>Examples show what to type or how to do a step.</t>
  </si>
  <si>
    <t>Choices (like password, code, or face login) are clear.</t>
  </si>
  <si>
    <t>The user is not provided with too many choices at one time.</t>
  </si>
  <si>
    <t>The system clearly informs the outcome of each action.</t>
  </si>
  <si>
    <t>The user gets required help or short tips for new steps.</t>
  </si>
  <si>
    <t>The user can easily try again if she makes a mistake.</t>
  </si>
  <si>
    <t>The design stays consistent so that the user can learn it over time.</t>
  </si>
  <si>
    <t>P-1</t>
  </si>
  <si>
    <t>Software Engineer</t>
  </si>
  <si>
    <t>P-2</t>
  </si>
  <si>
    <t>Human Resource Manager</t>
  </si>
  <si>
    <t>P-3</t>
  </si>
  <si>
    <t>Lecturer</t>
  </si>
  <si>
    <t>P-4</t>
  </si>
  <si>
    <t>Junior researcher</t>
  </si>
  <si>
    <t>P-5</t>
  </si>
  <si>
    <t>Project Researcher</t>
  </si>
  <si>
    <t>Indiviual calculations</t>
  </si>
  <si>
    <t>Average</t>
  </si>
  <si>
    <t>Median</t>
  </si>
  <si>
    <t>Variance</t>
  </si>
  <si>
    <t>Standard deviation</t>
  </si>
  <si>
    <t>Case 1</t>
  </si>
  <si>
    <t>Case 2</t>
  </si>
  <si>
    <t>Case 3</t>
  </si>
  <si>
    <t>Case I avarage</t>
  </si>
  <si>
    <t>Case II avarage</t>
  </si>
  <si>
    <t>Case III average</t>
  </si>
  <si>
    <t>Decision making</t>
  </si>
  <si>
    <t>OVERALL AVERAGE (ALL ITEMS INCLUDED)</t>
  </si>
  <si>
    <t>Average across cases</t>
  </si>
  <si>
    <t>CASE 1 Average</t>
  </si>
  <si>
    <t>CASE 2 average</t>
  </si>
  <si>
    <t>Case 3 Average</t>
  </si>
  <si>
    <t>Average (all)</t>
  </si>
  <si>
    <t>SD</t>
  </si>
  <si>
    <t>Overall average of all 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</si>
</sst>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0" fontId="0" fillId="0" borderId="1" xfId="0" applyBorder="1"/>
    <xf numFmtId="0" fontId="0" fillId="10" borderId="1" xfId="0" applyFill="1" applyBorder="1"/>
    <xf numFmtId="0" fontId="0" fillId="11" borderId="1" xfId="0" applyFill="1" applyBorder="1"/>
    <xf numFmtId="0" fontId="0" fillId="2" borderId="1" xfId="0" applyFill="1" applyBorder="1"/>
    <xf numFmtId="0" fontId="0" fillId="9" borderId="1" xfId="0" applyFill="1" applyBorder="1"/>
    <xf numFmtId="0" fontId="0" fillId="5" borderId="1" xfId="0" applyFill="1" applyBorder="1"/>
    <xf numFmtId="0" fontId="0" fillId="10" borderId="0" xfId="0" applyFill="1"/>
    <xf numFmtId="0" fontId="1" fillId="12" borderId="0" xfId="0" applyFont="1" applyFill="1" applyAlignment="1">
      <alignment horizontal="center" wrapText="1"/>
    </xf>
    <xf numFmtId="0" fontId="0" fillId="12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9" borderId="0" xfId="0" applyFill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2" fillId="0" borderId="1" xfId="0" applyFont="1" applyBorder="1"/>
    <xf numFmtId="0" fontId="0" fillId="2" borderId="0" xfId="0" applyFill="1" applyAlignment="1"/>
    <xf numFmtId="0" fontId="0" fillId="3" borderId="0" xfId="0" applyFill="1" applyAlignment="1"/>
    <xf numFmtId="0" fontId="0" fillId="4" borderId="0" xfId="0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F84FB-BF7D-4585-8A68-8BAA2AE60788}">
  <dimension ref="A1:AW38"/>
  <sheetViews>
    <sheetView tabSelected="1" topLeftCell="H4" zoomScale="70" zoomScaleNormal="70" workbookViewId="0">
      <selection activeCell="U26" sqref="U26"/>
    </sheetView>
  </sheetViews>
  <sheetFormatPr defaultRowHeight="12.6"/>
  <cols>
    <col min="1" max="1" width="17.5703125" customWidth="1"/>
    <col min="2" max="2" width="28.42578125" bestFit="1" customWidth="1"/>
    <col min="3" max="3" width="22.42578125" bestFit="1" customWidth="1"/>
    <col min="4" max="4" width="15.7109375" bestFit="1" customWidth="1"/>
    <col min="5" max="5" width="11.85546875" bestFit="1" customWidth="1"/>
    <col min="20" max="20" width="5.140625" customWidth="1"/>
    <col min="21" max="21" width="12.7109375" customWidth="1"/>
  </cols>
  <sheetData>
    <row r="1" spans="1:49" ht="65.099999999999994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6"/>
      <c r="G1" s="36"/>
      <c r="H1" s="34" t="s">
        <v>5</v>
      </c>
      <c r="I1" s="36"/>
      <c r="J1" s="36"/>
      <c r="K1" s="34" t="s">
        <v>6</v>
      </c>
      <c r="L1" s="36"/>
      <c r="M1" s="36"/>
      <c r="N1" s="34" t="s">
        <v>7</v>
      </c>
      <c r="O1" s="36"/>
      <c r="P1" s="36"/>
      <c r="Q1" s="34" t="s">
        <v>8</v>
      </c>
      <c r="R1" s="36"/>
      <c r="S1" s="36"/>
      <c r="T1" s="33" t="s">
        <v>4</v>
      </c>
      <c r="U1" s="37"/>
      <c r="V1" s="37"/>
      <c r="W1" s="33" t="s">
        <v>5</v>
      </c>
      <c r="X1" s="37"/>
      <c r="Y1" s="37"/>
      <c r="Z1" s="33" t="s">
        <v>6</v>
      </c>
      <c r="AA1" s="37"/>
      <c r="AB1" s="37"/>
      <c r="AC1" s="33" t="s">
        <v>7</v>
      </c>
      <c r="AD1" s="37"/>
      <c r="AE1" s="37"/>
      <c r="AF1" s="33" t="s">
        <v>8</v>
      </c>
      <c r="AG1" s="37"/>
      <c r="AH1" s="37"/>
      <c r="AI1" s="32" t="s">
        <v>4</v>
      </c>
      <c r="AJ1" s="38"/>
      <c r="AK1" s="38"/>
      <c r="AL1" s="32" t="s">
        <v>5</v>
      </c>
      <c r="AM1" s="38"/>
      <c r="AN1" s="38"/>
      <c r="AO1" s="32" t="s">
        <v>6</v>
      </c>
      <c r="AP1" s="38"/>
      <c r="AQ1" s="38"/>
      <c r="AR1" s="32" t="s">
        <v>7</v>
      </c>
      <c r="AS1" s="38"/>
      <c r="AT1" s="38"/>
      <c r="AU1" s="32" t="s">
        <v>8</v>
      </c>
      <c r="AV1" s="38"/>
      <c r="AW1" s="38"/>
    </row>
    <row r="2" spans="1:49" ht="143.1">
      <c r="A2" s="2" t="s">
        <v>9</v>
      </c>
      <c r="B2" s="2" t="s">
        <v>10</v>
      </c>
      <c r="C2" s="2" t="s">
        <v>11</v>
      </c>
      <c r="D2" s="2" t="s">
        <v>11</v>
      </c>
      <c r="E2" s="22" t="s">
        <v>12</v>
      </c>
      <c r="F2" s="22" t="s">
        <v>13</v>
      </c>
      <c r="G2" s="22" t="s">
        <v>14</v>
      </c>
      <c r="H2" s="22" t="s">
        <v>15</v>
      </c>
      <c r="I2" s="22" t="s">
        <v>16</v>
      </c>
      <c r="J2" s="22" t="s">
        <v>17</v>
      </c>
      <c r="K2" s="22" t="s">
        <v>18</v>
      </c>
      <c r="L2" s="22" t="s">
        <v>19</v>
      </c>
      <c r="M2" s="22" t="s">
        <v>20</v>
      </c>
      <c r="N2" s="22" t="s">
        <v>21</v>
      </c>
      <c r="O2" s="22" t="s">
        <v>22</v>
      </c>
      <c r="P2" s="22" t="s">
        <v>23</v>
      </c>
      <c r="Q2" s="22" t="s">
        <v>24</v>
      </c>
      <c r="R2" s="22" t="s">
        <v>25</v>
      </c>
      <c r="S2" s="22" t="s">
        <v>26</v>
      </c>
      <c r="T2" s="22" t="s">
        <v>12</v>
      </c>
      <c r="U2" s="22" t="s">
        <v>13</v>
      </c>
      <c r="V2" s="22" t="s">
        <v>14</v>
      </c>
      <c r="W2" s="22" t="s">
        <v>15</v>
      </c>
      <c r="X2" s="22" t="s">
        <v>16</v>
      </c>
      <c r="Y2" s="22" t="s">
        <v>17</v>
      </c>
      <c r="Z2" s="22" t="s">
        <v>18</v>
      </c>
      <c r="AA2" s="22" t="s">
        <v>19</v>
      </c>
      <c r="AB2" s="22" t="s">
        <v>20</v>
      </c>
      <c r="AC2" s="22" t="s">
        <v>21</v>
      </c>
      <c r="AD2" s="22" t="s">
        <v>22</v>
      </c>
      <c r="AE2" s="22" t="s">
        <v>23</v>
      </c>
      <c r="AF2" s="22" t="s">
        <v>24</v>
      </c>
      <c r="AG2" s="22" t="s">
        <v>25</v>
      </c>
      <c r="AH2" s="22" t="s">
        <v>26</v>
      </c>
      <c r="AI2" s="22" t="s">
        <v>12</v>
      </c>
      <c r="AJ2" s="22" t="s">
        <v>13</v>
      </c>
      <c r="AK2" s="22" t="s">
        <v>14</v>
      </c>
      <c r="AL2" s="22" t="s">
        <v>15</v>
      </c>
      <c r="AM2" s="22" t="s">
        <v>16</v>
      </c>
      <c r="AN2" s="22" t="s">
        <v>17</v>
      </c>
      <c r="AO2" s="22" t="s">
        <v>18</v>
      </c>
      <c r="AP2" s="22" t="s">
        <v>19</v>
      </c>
      <c r="AQ2" s="22" t="s">
        <v>20</v>
      </c>
      <c r="AR2" s="22" t="s">
        <v>21</v>
      </c>
      <c r="AS2" s="22" t="s">
        <v>22</v>
      </c>
      <c r="AT2" s="22" t="s">
        <v>23</v>
      </c>
      <c r="AU2" s="2" t="s">
        <v>24</v>
      </c>
      <c r="AV2" s="2" t="s">
        <v>25</v>
      </c>
      <c r="AW2" s="2" t="s">
        <v>26</v>
      </c>
    </row>
    <row r="3" spans="1:49">
      <c r="A3" s="3" t="s">
        <v>27</v>
      </c>
      <c r="B3" s="1" t="s">
        <v>10</v>
      </c>
      <c r="C3" s="4" t="s">
        <v>28</v>
      </c>
      <c r="D3" s="4">
        <v>9</v>
      </c>
      <c r="E3" s="23">
        <v>5</v>
      </c>
      <c r="F3" s="23">
        <v>5</v>
      </c>
      <c r="G3" s="23">
        <v>4</v>
      </c>
      <c r="H3" s="23">
        <v>4</v>
      </c>
      <c r="I3" s="23">
        <v>1</v>
      </c>
      <c r="J3" s="23">
        <v>1</v>
      </c>
      <c r="K3" s="23">
        <v>4</v>
      </c>
      <c r="L3" s="23">
        <v>2</v>
      </c>
      <c r="M3" s="23">
        <v>1</v>
      </c>
      <c r="N3" s="23">
        <v>4</v>
      </c>
      <c r="O3" s="23">
        <v>5</v>
      </c>
      <c r="P3" s="23">
        <v>3</v>
      </c>
      <c r="Q3" s="23">
        <v>2</v>
      </c>
      <c r="R3" s="23">
        <v>2</v>
      </c>
      <c r="S3" s="23">
        <v>4</v>
      </c>
      <c r="T3" s="23">
        <v>5</v>
      </c>
      <c r="U3" s="23">
        <v>4</v>
      </c>
      <c r="V3" s="23">
        <v>4</v>
      </c>
      <c r="W3" s="23">
        <v>4</v>
      </c>
      <c r="X3" s="23">
        <v>1</v>
      </c>
      <c r="Y3" s="23">
        <v>3</v>
      </c>
      <c r="Z3" s="23">
        <v>4</v>
      </c>
      <c r="AA3" s="23">
        <v>1</v>
      </c>
      <c r="AB3" s="23">
        <v>2</v>
      </c>
      <c r="AC3" s="23">
        <v>3</v>
      </c>
      <c r="AD3" s="23">
        <v>4</v>
      </c>
      <c r="AE3" s="23">
        <v>3</v>
      </c>
      <c r="AF3" s="23">
        <v>2</v>
      </c>
      <c r="AG3" s="23">
        <v>3</v>
      </c>
      <c r="AH3" s="23">
        <v>4</v>
      </c>
      <c r="AI3" s="23">
        <v>2</v>
      </c>
      <c r="AJ3" s="23">
        <v>2</v>
      </c>
      <c r="AK3" s="23">
        <v>2</v>
      </c>
      <c r="AL3" s="23">
        <v>1</v>
      </c>
      <c r="AM3" s="23">
        <v>4</v>
      </c>
      <c r="AN3" s="23">
        <v>2</v>
      </c>
      <c r="AO3" s="23">
        <v>3</v>
      </c>
      <c r="AP3" s="23">
        <v>4</v>
      </c>
      <c r="AQ3" s="23">
        <v>3</v>
      </c>
      <c r="AR3" s="23">
        <v>4</v>
      </c>
      <c r="AS3" s="23">
        <v>1</v>
      </c>
      <c r="AT3" s="23">
        <v>2</v>
      </c>
      <c r="AU3" s="1">
        <v>5</v>
      </c>
      <c r="AV3" s="1">
        <v>3</v>
      </c>
      <c r="AW3" s="1">
        <v>2</v>
      </c>
    </row>
    <row r="4" spans="1:49">
      <c r="A4" s="3" t="s">
        <v>29</v>
      </c>
      <c r="B4" s="1" t="s">
        <v>10</v>
      </c>
      <c r="C4" s="4" t="s">
        <v>30</v>
      </c>
      <c r="D4" s="4">
        <v>4</v>
      </c>
      <c r="E4" s="23">
        <v>5</v>
      </c>
      <c r="F4" s="23">
        <v>5</v>
      </c>
      <c r="G4" s="23">
        <v>4</v>
      </c>
      <c r="H4" s="23">
        <v>4</v>
      </c>
      <c r="I4" s="23">
        <v>2</v>
      </c>
      <c r="J4" s="23">
        <v>2</v>
      </c>
      <c r="K4" s="23">
        <v>5</v>
      </c>
      <c r="L4" s="23">
        <v>2</v>
      </c>
      <c r="M4" s="23">
        <v>4</v>
      </c>
      <c r="N4" s="23">
        <v>2</v>
      </c>
      <c r="O4" s="23">
        <v>4</v>
      </c>
      <c r="P4" s="23">
        <v>4</v>
      </c>
      <c r="Q4" s="23">
        <v>4</v>
      </c>
      <c r="R4" s="23">
        <v>4</v>
      </c>
      <c r="S4" s="23">
        <v>4</v>
      </c>
      <c r="T4" s="23">
        <v>5</v>
      </c>
      <c r="U4" s="23">
        <v>5</v>
      </c>
      <c r="V4" s="23">
        <v>4</v>
      </c>
      <c r="W4" s="23">
        <v>4</v>
      </c>
      <c r="X4" s="23">
        <v>2</v>
      </c>
      <c r="Y4" s="23">
        <v>4</v>
      </c>
      <c r="Z4" s="23">
        <v>4</v>
      </c>
      <c r="AA4" s="23">
        <v>5</v>
      </c>
      <c r="AB4" s="23">
        <v>5</v>
      </c>
      <c r="AC4" s="23">
        <v>2</v>
      </c>
      <c r="AD4" s="23">
        <v>2</v>
      </c>
      <c r="AE4" s="23">
        <v>5</v>
      </c>
      <c r="AF4" s="23">
        <v>5</v>
      </c>
      <c r="AG4" s="23">
        <v>4</v>
      </c>
      <c r="AH4" s="23">
        <v>4</v>
      </c>
      <c r="AI4" s="23">
        <v>4</v>
      </c>
      <c r="AJ4" s="23">
        <v>4</v>
      </c>
      <c r="AK4" s="23">
        <v>4</v>
      </c>
      <c r="AL4" s="23">
        <v>4</v>
      </c>
      <c r="AM4" s="23">
        <v>2</v>
      </c>
      <c r="AN4" s="23">
        <v>4</v>
      </c>
      <c r="AO4" s="23">
        <v>4</v>
      </c>
      <c r="AP4" s="23">
        <v>5</v>
      </c>
      <c r="AQ4" s="23">
        <v>5</v>
      </c>
      <c r="AR4" s="23">
        <v>2</v>
      </c>
      <c r="AS4" s="23">
        <v>4</v>
      </c>
      <c r="AT4" s="23">
        <v>4</v>
      </c>
      <c r="AU4" s="1">
        <v>4</v>
      </c>
      <c r="AV4" s="1">
        <v>4</v>
      </c>
      <c r="AW4" s="1">
        <v>4</v>
      </c>
    </row>
    <row r="5" spans="1:49">
      <c r="A5" s="3" t="s">
        <v>31</v>
      </c>
      <c r="B5" s="1" t="s">
        <v>10</v>
      </c>
      <c r="C5" s="4" t="s">
        <v>32</v>
      </c>
      <c r="D5" s="4">
        <v>5</v>
      </c>
      <c r="E5" s="23">
        <v>5</v>
      </c>
      <c r="F5" s="23">
        <v>3</v>
      </c>
      <c r="G5" s="23">
        <v>4</v>
      </c>
      <c r="H5" s="23">
        <v>4</v>
      </c>
      <c r="I5" s="23">
        <v>1</v>
      </c>
      <c r="J5" s="23">
        <v>1</v>
      </c>
      <c r="K5" s="23">
        <v>1</v>
      </c>
      <c r="L5" s="23">
        <v>5</v>
      </c>
      <c r="M5" s="23">
        <v>1</v>
      </c>
      <c r="N5" s="23">
        <v>5</v>
      </c>
      <c r="O5" s="23">
        <v>1</v>
      </c>
      <c r="P5" s="23">
        <v>3</v>
      </c>
      <c r="Q5" s="23">
        <v>1</v>
      </c>
      <c r="R5" s="23">
        <v>5</v>
      </c>
      <c r="S5" s="23">
        <v>5</v>
      </c>
      <c r="T5" s="23">
        <v>5</v>
      </c>
      <c r="U5" s="23">
        <v>4</v>
      </c>
      <c r="V5" s="23">
        <v>4</v>
      </c>
      <c r="W5" s="23">
        <v>4</v>
      </c>
      <c r="X5" s="23">
        <v>1</v>
      </c>
      <c r="Y5" s="23">
        <v>1</v>
      </c>
      <c r="Z5" s="23">
        <v>2</v>
      </c>
      <c r="AA5" s="23">
        <v>5</v>
      </c>
      <c r="AB5" s="23">
        <v>5</v>
      </c>
      <c r="AC5" s="23">
        <v>5</v>
      </c>
      <c r="AD5" s="23">
        <v>5</v>
      </c>
      <c r="AE5" s="23">
        <v>4</v>
      </c>
      <c r="AF5" s="23">
        <v>1</v>
      </c>
      <c r="AG5" s="23">
        <v>3</v>
      </c>
      <c r="AH5" s="23">
        <v>4</v>
      </c>
      <c r="AI5" s="23">
        <v>5</v>
      </c>
      <c r="AJ5" s="23">
        <v>5</v>
      </c>
      <c r="AK5" s="23">
        <v>4</v>
      </c>
      <c r="AL5" s="23">
        <v>3</v>
      </c>
      <c r="AM5" s="23">
        <v>1</v>
      </c>
      <c r="AN5" s="23">
        <v>4</v>
      </c>
      <c r="AO5" s="23">
        <v>2</v>
      </c>
      <c r="AP5" s="23">
        <v>5</v>
      </c>
      <c r="AQ5" s="23">
        <v>5</v>
      </c>
      <c r="AR5" s="23">
        <v>5</v>
      </c>
      <c r="AS5" s="23">
        <v>5</v>
      </c>
      <c r="AT5" s="23">
        <v>4</v>
      </c>
      <c r="AU5" s="1">
        <v>5</v>
      </c>
      <c r="AV5" s="1">
        <v>4</v>
      </c>
      <c r="AW5" s="1">
        <v>5</v>
      </c>
    </row>
    <row r="6" spans="1:49">
      <c r="A6" s="3" t="s">
        <v>33</v>
      </c>
      <c r="B6" s="1" t="s">
        <v>10</v>
      </c>
      <c r="C6" s="4" t="s">
        <v>34</v>
      </c>
      <c r="D6" s="4">
        <v>1</v>
      </c>
      <c r="E6" s="23">
        <v>4</v>
      </c>
      <c r="F6" s="23">
        <v>5</v>
      </c>
      <c r="G6" s="23">
        <v>5</v>
      </c>
      <c r="H6" s="23">
        <v>5</v>
      </c>
      <c r="I6" s="23">
        <v>5</v>
      </c>
      <c r="J6" s="23">
        <v>5</v>
      </c>
      <c r="K6" s="23">
        <v>5</v>
      </c>
      <c r="L6" s="23">
        <v>5</v>
      </c>
      <c r="M6" s="23">
        <v>4</v>
      </c>
      <c r="N6" s="23">
        <v>5</v>
      </c>
      <c r="O6" s="23">
        <v>5</v>
      </c>
      <c r="P6" s="23">
        <v>4</v>
      </c>
      <c r="Q6" s="23">
        <v>5</v>
      </c>
      <c r="R6" s="23">
        <v>4</v>
      </c>
      <c r="S6" s="23">
        <v>5</v>
      </c>
      <c r="T6" s="23">
        <v>5</v>
      </c>
      <c r="U6" s="23">
        <v>5</v>
      </c>
      <c r="V6" s="23">
        <v>5</v>
      </c>
      <c r="W6" s="23">
        <v>5</v>
      </c>
      <c r="X6" s="23">
        <v>5</v>
      </c>
      <c r="Y6" s="23">
        <v>5</v>
      </c>
      <c r="Z6" s="23">
        <v>5</v>
      </c>
      <c r="AA6" s="23">
        <v>5</v>
      </c>
      <c r="AB6" s="23">
        <v>5</v>
      </c>
      <c r="AC6" s="23">
        <v>5</v>
      </c>
      <c r="AD6" s="23">
        <v>5</v>
      </c>
      <c r="AE6" s="23">
        <v>3</v>
      </c>
      <c r="AF6" s="23">
        <v>5</v>
      </c>
      <c r="AG6" s="23">
        <v>4</v>
      </c>
      <c r="AH6" s="23">
        <v>5</v>
      </c>
      <c r="AI6" s="23">
        <v>4</v>
      </c>
      <c r="AJ6" s="23">
        <v>5</v>
      </c>
      <c r="AK6" s="23">
        <v>5</v>
      </c>
      <c r="AL6" s="23">
        <v>5</v>
      </c>
      <c r="AM6" s="23">
        <v>5</v>
      </c>
      <c r="AN6" s="23">
        <v>5</v>
      </c>
      <c r="AO6" s="23">
        <v>5</v>
      </c>
      <c r="AP6" s="23">
        <v>4</v>
      </c>
      <c r="AQ6" s="23">
        <v>5</v>
      </c>
      <c r="AR6" s="23">
        <v>5</v>
      </c>
      <c r="AS6" s="23">
        <v>4</v>
      </c>
      <c r="AT6" s="23">
        <v>5</v>
      </c>
      <c r="AU6" s="1">
        <v>5</v>
      </c>
      <c r="AV6" s="1">
        <v>5</v>
      </c>
      <c r="AW6" s="1">
        <v>5</v>
      </c>
    </row>
    <row r="7" spans="1:49">
      <c r="A7" s="3" t="s">
        <v>35</v>
      </c>
      <c r="B7" s="1" t="s">
        <v>10</v>
      </c>
      <c r="C7" s="4" t="s">
        <v>36</v>
      </c>
      <c r="D7" s="4">
        <v>10</v>
      </c>
      <c r="E7" s="23">
        <v>5</v>
      </c>
      <c r="F7" s="23">
        <v>5</v>
      </c>
      <c r="G7" s="23">
        <v>5</v>
      </c>
      <c r="H7" s="23">
        <v>4</v>
      </c>
      <c r="I7" s="23">
        <v>3</v>
      </c>
      <c r="J7" s="23">
        <v>4</v>
      </c>
      <c r="K7" s="23">
        <v>5</v>
      </c>
      <c r="L7" s="23">
        <v>4</v>
      </c>
      <c r="M7" s="23">
        <v>3</v>
      </c>
      <c r="N7" s="23">
        <v>5</v>
      </c>
      <c r="O7" s="23">
        <v>5</v>
      </c>
      <c r="P7" s="23">
        <v>4</v>
      </c>
      <c r="Q7" s="23">
        <v>4</v>
      </c>
      <c r="R7" s="23">
        <v>4</v>
      </c>
      <c r="S7" s="23">
        <v>4</v>
      </c>
      <c r="T7" s="23">
        <v>4</v>
      </c>
      <c r="U7" s="23">
        <v>2</v>
      </c>
      <c r="V7" s="23">
        <v>4</v>
      </c>
      <c r="W7" s="23">
        <v>4</v>
      </c>
      <c r="X7" s="23">
        <v>4</v>
      </c>
      <c r="Y7" s="23">
        <v>4</v>
      </c>
      <c r="Z7" s="23">
        <v>4</v>
      </c>
      <c r="AA7" s="23">
        <v>4</v>
      </c>
      <c r="AB7" s="23">
        <v>3</v>
      </c>
      <c r="AC7" s="23">
        <v>4</v>
      </c>
      <c r="AD7" s="23">
        <v>4</v>
      </c>
      <c r="AE7" s="23">
        <v>4</v>
      </c>
      <c r="AF7" s="23">
        <v>4</v>
      </c>
      <c r="AG7" s="23">
        <v>4</v>
      </c>
      <c r="AH7" s="23">
        <v>4</v>
      </c>
      <c r="AI7" s="23">
        <v>5</v>
      </c>
      <c r="AJ7" s="23">
        <v>4</v>
      </c>
      <c r="AK7" s="23">
        <v>4</v>
      </c>
      <c r="AL7" s="23">
        <v>5</v>
      </c>
      <c r="AM7" s="23">
        <v>4</v>
      </c>
      <c r="AN7" s="23">
        <v>5</v>
      </c>
      <c r="AO7" s="23">
        <v>5</v>
      </c>
      <c r="AP7" s="23">
        <v>4</v>
      </c>
      <c r="AQ7" s="23">
        <v>4</v>
      </c>
      <c r="AR7" s="23">
        <v>5</v>
      </c>
      <c r="AS7" s="23">
        <v>5</v>
      </c>
      <c r="AT7" s="23">
        <v>5</v>
      </c>
      <c r="AU7" s="1">
        <v>4</v>
      </c>
      <c r="AV7" s="1">
        <v>4</v>
      </c>
      <c r="AW7" s="1">
        <v>4</v>
      </c>
    </row>
    <row r="9" spans="1:49" s="13" customFormat="1">
      <c r="C9" s="29" t="s">
        <v>37</v>
      </c>
      <c r="D9" s="13" t="s">
        <v>38</v>
      </c>
      <c r="E9" s="14">
        <f>AVERAGE(E3:E7)</f>
        <v>4.8</v>
      </c>
      <c r="F9" s="14">
        <f>AVERAGE(F3:F7)</f>
        <v>4.5999999999999996</v>
      </c>
      <c r="G9" s="14">
        <f t="shared" ref="G9:AW9" si="0">AVERAGE(G3:G7)</f>
        <v>4.4000000000000004</v>
      </c>
      <c r="H9" s="14">
        <f t="shared" si="0"/>
        <v>4.2</v>
      </c>
      <c r="I9" s="14">
        <f t="shared" si="0"/>
        <v>2.4</v>
      </c>
      <c r="J9" s="14">
        <f t="shared" si="0"/>
        <v>2.6</v>
      </c>
      <c r="K9" s="14">
        <f t="shared" si="0"/>
        <v>4</v>
      </c>
      <c r="L9" s="14">
        <f t="shared" si="0"/>
        <v>3.6</v>
      </c>
      <c r="M9" s="14">
        <f t="shared" si="0"/>
        <v>2.6</v>
      </c>
      <c r="N9" s="14">
        <f t="shared" si="0"/>
        <v>4.2</v>
      </c>
      <c r="O9" s="14">
        <f t="shared" si="0"/>
        <v>4</v>
      </c>
      <c r="P9" s="14">
        <f t="shared" si="0"/>
        <v>3.6</v>
      </c>
      <c r="Q9" s="14">
        <f t="shared" si="0"/>
        <v>3.2</v>
      </c>
      <c r="R9" s="14">
        <f t="shared" si="0"/>
        <v>3.8</v>
      </c>
      <c r="S9" s="14">
        <f t="shared" si="0"/>
        <v>4.4000000000000004</v>
      </c>
      <c r="T9" s="14">
        <f t="shared" si="0"/>
        <v>4.8</v>
      </c>
      <c r="U9" s="14">
        <f t="shared" si="0"/>
        <v>4</v>
      </c>
      <c r="V9" s="14">
        <f t="shared" si="0"/>
        <v>4.2</v>
      </c>
      <c r="W9" s="14">
        <f t="shared" si="0"/>
        <v>4.2</v>
      </c>
      <c r="X9" s="14">
        <f t="shared" si="0"/>
        <v>2.6</v>
      </c>
      <c r="Y9" s="14">
        <f t="shared" si="0"/>
        <v>3.4</v>
      </c>
      <c r="Z9" s="14">
        <f t="shared" si="0"/>
        <v>3.8</v>
      </c>
      <c r="AA9" s="14">
        <f t="shared" si="0"/>
        <v>4</v>
      </c>
      <c r="AB9" s="14">
        <f t="shared" si="0"/>
        <v>4</v>
      </c>
      <c r="AC9" s="14">
        <f t="shared" si="0"/>
        <v>3.8</v>
      </c>
      <c r="AD9" s="14">
        <f t="shared" si="0"/>
        <v>4</v>
      </c>
      <c r="AE9" s="14">
        <f t="shared" si="0"/>
        <v>3.8</v>
      </c>
      <c r="AF9" s="14">
        <f t="shared" si="0"/>
        <v>3.4</v>
      </c>
      <c r="AG9" s="14">
        <f t="shared" si="0"/>
        <v>3.6</v>
      </c>
      <c r="AH9" s="14">
        <f t="shared" si="0"/>
        <v>4.2</v>
      </c>
      <c r="AI9" s="14">
        <f t="shared" si="0"/>
        <v>4</v>
      </c>
      <c r="AJ9" s="14">
        <f t="shared" si="0"/>
        <v>4</v>
      </c>
      <c r="AK9" s="14">
        <f t="shared" si="0"/>
        <v>3.8</v>
      </c>
      <c r="AL9" s="14">
        <f t="shared" si="0"/>
        <v>3.6</v>
      </c>
      <c r="AM9" s="14">
        <f t="shared" si="0"/>
        <v>3.2</v>
      </c>
      <c r="AN9" s="14">
        <f t="shared" si="0"/>
        <v>4</v>
      </c>
      <c r="AO9" s="14">
        <f t="shared" si="0"/>
        <v>3.8</v>
      </c>
      <c r="AP9" s="14">
        <f t="shared" si="0"/>
        <v>4.4000000000000004</v>
      </c>
      <c r="AQ9" s="14">
        <f t="shared" si="0"/>
        <v>4.4000000000000004</v>
      </c>
      <c r="AR9" s="14">
        <f t="shared" si="0"/>
        <v>4.2</v>
      </c>
      <c r="AS9" s="14">
        <f t="shared" si="0"/>
        <v>3.8</v>
      </c>
      <c r="AT9" s="14">
        <f t="shared" si="0"/>
        <v>4</v>
      </c>
      <c r="AU9" s="14">
        <f t="shared" si="0"/>
        <v>4.5999999999999996</v>
      </c>
      <c r="AV9" s="14">
        <f t="shared" si="0"/>
        <v>4</v>
      </c>
      <c r="AW9" s="14">
        <f t="shared" si="0"/>
        <v>4</v>
      </c>
    </row>
    <row r="10" spans="1:49" s="8" customFormat="1">
      <c r="C10" s="29"/>
      <c r="D10" s="8" t="s">
        <v>39</v>
      </c>
      <c r="E10" s="9">
        <f>MEDIAN(E3:E7)</f>
        <v>5</v>
      </c>
      <c r="F10" s="9">
        <f t="shared" ref="F10:AW10" si="1">MEDIAN(F3:F7)</f>
        <v>5</v>
      </c>
      <c r="G10" s="9">
        <f t="shared" si="1"/>
        <v>4</v>
      </c>
      <c r="H10" s="9">
        <f t="shared" si="1"/>
        <v>4</v>
      </c>
      <c r="I10" s="9">
        <f t="shared" si="1"/>
        <v>2</v>
      </c>
      <c r="J10" s="9">
        <f t="shared" si="1"/>
        <v>2</v>
      </c>
      <c r="K10" s="9">
        <f t="shared" si="1"/>
        <v>5</v>
      </c>
      <c r="L10" s="9">
        <f t="shared" si="1"/>
        <v>4</v>
      </c>
      <c r="M10" s="9">
        <f t="shared" si="1"/>
        <v>3</v>
      </c>
      <c r="N10" s="9">
        <f t="shared" si="1"/>
        <v>5</v>
      </c>
      <c r="O10" s="9">
        <f t="shared" si="1"/>
        <v>5</v>
      </c>
      <c r="P10" s="9">
        <f t="shared" si="1"/>
        <v>4</v>
      </c>
      <c r="Q10" s="9">
        <f t="shared" si="1"/>
        <v>4</v>
      </c>
      <c r="R10" s="9">
        <f t="shared" si="1"/>
        <v>4</v>
      </c>
      <c r="S10" s="9">
        <f t="shared" si="1"/>
        <v>4</v>
      </c>
      <c r="T10" s="9">
        <f t="shared" si="1"/>
        <v>5</v>
      </c>
      <c r="U10" s="9">
        <f t="shared" si="1"/>
        <v>4</v>
      </c>
      <c r="V10" s="9">
        <f t="shared" si="1"/>
        <v>4</v>
      </c>
      <c r="W10" s="9">
        <f t="shared" si="1"/>
        <v>4</v>
      </c>
      <c r="X10" s="9">
        <f t="shared" si="1"/>
        <v>2</v>
      </c>
      <c r="Y10" s="9">
        <f t="shared" si="1"/>
        <v>4</v>
      </c>
      <c r="Z10" s="9">
        <f t="shared" si="1"/>
        <v>4</v>
      </c>
      <c r="AA10" s="9">
        <f t="shared" si="1"/>
        <v>5</v>
      </c>
      <c r="AB10" s="9">
        <f t="shared" si="1"/>
        <v>5</v>
      </c>
      <c r="AC10" s="9">
        <f t="shared" si="1"/>
        <v>4</v>
      </c>
      <c r="AD10" s="9">
        <f t="shared" si="1"/>
        <v>4</v>
      </c>
      <c r="AE10" s="9">
        <f t="shared" si="1"/>
        <v>4</v>
      </c>
      <c r="AF10" s="9">
        <f t="shared" si="1"/>
        <v>4</v>
      </c>
      <c r="AG10" s="9">
        <f t="shared" si="1"/>
        <v>4</v>
      </c>
      <c r="AH10" s="9">
        <f t="shared" si="1"/>
        <v>4</v>
      </c>
      <c r="AI10" s="9">
        <f t="shared" si="1"/>
        <v>4</v>
      </c>
      <c r="AJ10" s="9">
        <f t="shared" si="1"/>
        <v>4</v>
      </c>
      <c r="AK10" s="9">
        <f t="shared" si="1"/>
        <v>4</v>
      </c>
      <c r="AL10" s="9">
        <f t="shared" si="1"/>
        <v>4</v>
      </c>
      <c r="AM10" s="9">
        <f t="shared" si="1"/>
        <v>4</v>
      </c>
      <c r="AN10" s="9">
        <f t="shared" si="1"/>
        <v>4</v>
      </c>
      <c r="AO10" s="9">
        <f t="shared" si="1"/>
        <v>4</v>
      </c>
      <c r="AP10" s="9">
        <f t="shared" si="1"/>
        <v>4</v>
      </c>
      <c r="AQ10" s="9">
        <f t="shared" si="1"/>
        <v>5</v>
      </c>
      <c r="AR10" s="9">
        <f t="shared" si="1"/>
        <v>5</v>
      </c>
      <c r="AS10" s="9">
        <f t="shared" si="1"/>
        <v>4</v>
      </c>
      <c r="AT10" s="9">
        <f t="shared" si="1"/>
        <v>4</v>
      </c>
      <c r="AU10" s="9">
        <f t="shared" si="1"/>
        <v>5</v>
      </c>
      <c r="AV10" s="9">
        <f t="shared" si="1"/>
        <v>4</v>
      </c>
      <c r="AW10" s="9">
        <f t="shared" si="1"/>
        <v>4</v>
      </c>
    </row>
    <row r="11" spans="1:49" s="10" customFormat="1">
      <c r="C11" s="29"/>
      <c r="D11" s="10" t="s">
        <v>40</v>
      </c>
      <c r="E11" s="10">
        <f>_xlfn.VAR.P(E3:E7)</f>
        <v>0.15999999999999998</v>
      </c>
      <c r="F11" s="10">
        <f t="shared" ref="F11:AW11" si="2">_xlfn.VAR.P(F3:F7)</f>
        <v>0.64</v>
      </c>
      <c r="G11" s="10">
        <f t="shared" si="2"/>
        <v>0.24</v>
      </c>
      <c r="H11" s="10">
        <f t="shared" si="2"/>
        <v>0.15999999999999998</v>
      </c>
      <c r="I11" s="10">
        <f t="shared" si="2"/>
        <v>2.2400000000000002</v>
      </c>
      <c r="J11" s="10">
        <f t="shared" si="2"/>
        <v>2.64</v>
      </c>
      <c r="K11" s="10">
        <f t="shared" si="2"/>
        <v>2.4</v>
      </c>
      <c r="L11" s="10">
        <f t="shared" si="2"/>
        <v>1.84</v>
      </c>
      <c r="M11" s="10">
        <f t="shared" si="2"/>
        <v>1.84</v>
      </c>
      <c r="N11" s="10">
        <f t="shared" si="2"/>
        <v>1.36</v>
      </c>
      <c r="O11" s="10">
        <f t="shared" si="2"/>
        <v>2.4</v>
      </c>
      <c r="P11" s="10">
        <f t="shared" si="2"/>
        <v>0.24</v>
      </c>
      <c r="Q11" s="10">
        <f t="shared" si="2"/>
        <v>2.16</v>
      </c>
      <c r="R11" s="10">
        <f t="shared" si="2"/>
        <v>0.96</v>
      </c>
      <c r="S11" s="10">
        <f t="shared" si="2"/>
        <v>0.24</v>
      </c>
      <c r="T11" s="10">
        <f t="shared" si="2"/>
        <v>0.15999999999999998</v>
      </c>
      <c r="U11" s="10">
        <f t="shared" si="2"/>
        <v>1.2</v>
      </c>
      <c r="V11" s="10">
        <f t="shared" si="2"/>
        <v>0.15999999999999998</v>
      </c>
      <c r="W11" s="10">
        <f t="shared" si="2"/>
        <v>0.15999999999999998</v>
      </c>
      <c r="X11" s="10">
        <f t="shared" si="2"/>
        <v>2.64</v>
      </c>
      <c r="Y11" s="10">
        <f t="shared" si="2"/>
        <v>1.84</v>
      </c>
      <c r="Z11" s="10">
        <f t="shared" si="2"/>
        <v>0.96</v>
      </c>
      <c r="AA11" s="10">
        <f t="shared" si="2"/>
        <v>2.4</v>
      </c>
      <c r="AB11" s="10">
        <f t="shared" si="2"/>
        <v>1.6</v>
      </c>
      <c r="AC11" s="10">
        <f t="shared" si="2"/>
        <v>1.36</v>
      </c>
      <c r="AD11" s="10">
        <f t="shared" si="2"/>
        <v>1.2</v>
      </c>
      <c r="AE11" s="10">
        <f t="shared" si="2"/>
        <v>0.56000000000000005</v>
      </c>
      <c r="AF11" s="10">
        <f t="shared" si="2"/>
        <v>2.64</v>
      </c>
      <c r="AG11" s="10">
        <f t="shared" si="2"/>
        <v>0.24</v>
      </c>
      <c r="AH11" s="10">
        <f t="shared" si="2"/>
        <v>0.15999999999999998</v>
      </c>
      <c r="AI11" s="10">
        <f t="shared" si="2"/>
        <v>1.2</v>
      </c>
      <c r="AJ11" s="10">
        <f t="shared" si="2"/>
        <v>1.2</v>
      </c>
      <c r="AK11" s="10">
        <f t="shared" si="2"/>
        <v>0.96</v>
      </c>
      <c r="AL11" s="10">
        <f t="shared" si="2"/>
        <v>2.2400000000000002</v>
      </c>
      <c r="AM11" s="10">
        <f t="shared" si="2"/>
        <v>2.16</v>
      </c>
      <c r="AN11" s="10">
        <f t="shared" si="2"/>
        <v>1.2</v>
      </c>
      <c r="AO11" s="10">
        <f t="shared" si="2"/>
        <v>1.36</v>
      </c>
      <c r="AP11" s="10">
        <f t="shared" si="2"/>
        <v>0.24</v>
      </c>
      <c r="AQ11" s="10">
        <f t="shared" si="2"/>
        <v>0.64</v>
      </c>
      <c r="AR11" s="10">
        <f t="shared" si="2"/>
        <v>1.36</v>
      </c>
      <c r="AS11" s="10">
        <f t="shared" si="2"/>
        <v>2.16</v>
      </c>
      <c r="AT11" s="10">
        <f t="shared" si="2"/>
        <v>1.2</v>
      </c>
      <c r="AU11" s="10">
        <f t="shared" si="2"/>
        <v>0.24</v>
      </c>
      <c r="AV11" s="10">
        <f t="shared" si="2"/>
        <v>0.4</v>
      </c>
      <c r="AW11" s="10">
        <f t="shared" si="2"/>
        <v>1.2</v>
      </c>
    </row>
    <row r="12" spans="1:49" s="11" customFormat="1">
      <c r="C12" s="29"/>
      <c r="D12" s="11" t="s">
        <v>41</v>
      </c>
      <c r="E12" s="12">
        <f>STDEV(E3:E7)</f>
        <v>0.44721359549995793</v>
      </c>
      <c r="F12" s="12">
        <f t="shared" ref="F12:AW12" si="3">STDEV(F3:F7)</f>
        <v>0.8944271909999163</v>
      </c>
      <c r="G12" s="12">
        <f t="shared" si="3"/>
        <v>0.54772255750516674</v>
      </c>
      <c r="H12" s="12">
        <f t="shared" si="3"/>
        <v>0.44721359549995793</v>
      </c>
      <c r="I12" s="12">
        <f t="shared" si="3"/>
        <v>1.6733200530681511</v>
      </c>
      <c r="J12" s="12">
        <f t="shared" si="3"/>
        <v>1.8165902124584952</v>
      </c>
      <c r="K12" s="12">
        <f t="shared" si="3"/>
        <v>1.7320508075688772</v>
      </c>
      <c r="L12" s="12">
        <f t="shared" si="3"/>
        <v>1.5165750888103104</v>
      </c>
      <c r="M12" s="12">
        <f t="shared" si="3"/>
        <v>1.5165750888103104</v>
      </c>
      <c r="N12" s="12">
        <f t="shared" si="3"/>
        <v>1.3038404810405295</v>
      </c>
      <c r="O12" s="12">
        <f t="shared" si="3"/>
        <v>1.7320508075688772</v>
      </c>
      <c r="P12" s="12">
        <f t="shared" si="3"/>
        <v>0.54772255750516674</v>
      </c>
      <c r="Q12" s="12">
        <f t="shared" si="3"/>
        <v>1.6431676725154982</v>
      </c>
      <c r="R12" s="12">
        <f t="shared" si="3"/>
        <v>1.0954451150103319</v>
      </c>
      <c r="S12" s="12">
        <f t="shared" si="3"/>
        <v>0.54772255750516674</v>
      </c>
      <c r="T12" s="12">
        <f t="shared" si="3"/>
        <v>0.44721359549995793</v>
      </c>
      <c r="U12" s="12">
        <f t="shared" si="3"/>
        <v>1.2247448713915889</v>
      </c>
      <c r="V12" s="12">
        <f t="shared" si="3"/>
        <v>0.44721359549995793</v>
      </c>
      <c r="W12" s="12">
        <f t="shared" si="3"/>
        <v>0.44721359549995793</v>
      </c>
      <c r="X12" s="12">
        <f t="shared" si="3"/>
        <v>1.8165902124584952</v>
      </c>
      <c r="Y12" s="12">
        <f t="shared" si="3"/>
        <v>1.5165750888103104</v>
      </c>
      <c r="Z12" s="12">
        <f t="shared" si="3"/>
        <v>1.0954451150103319</v>
      </c>
      <c r="AA12" s="12">
        <f t="shared" si="3"/>
        <v>1.7320508075688772</v>
      </c>
      <c r="AB12" s="12">
        <f t="shared" si="3"/>
        <v>1.4142135623730951</v>
      </c>
      <c r="AC12" s="12">
        <f t="shared" si="3"/>
        <v>1.3038404810405295</v>
      </c>
      <c r="AD12" s="12">
        <f t="shared" si="3"/>
        <v>1.2247448713915889</v>
      </c>
      <c r="AE12" s="12">
        <f t="shared" si="3"/>
        <v>0.83666002653407512</v>
      </c>
      <c r="AF12" s="12">
        <f t="shared" si="3"/>
        <v>1.8165902124584952</v>
      </c>
      <c r="AG12" s="12">
        <f t="shared" si="3"/>
        <v>0.54772255750516674</v>
      </c>
      <c r="AH12" s="12">
        <f t="shared" si="3"/>
        <v>0.44721359549995793</v>
      </c>
      <c r="AI12" s="12">
        <f t="shared" si="3"/>
        <v>1.2247448713915889</v>
      </c>
      <c r="AJ12" s="12">
        <f t="shared" si="3"/>
        <v>1.2247448713915889</v>
      </c>
      <c r="AK12" s="12">
        <f t="shared" si="3"/>
        <v>1.0954451150103319</v>
      </c>
      <c r="AL12" s="12">
        <f t="shared" si="3"/>
        <v>1.6733200530681513</v>
      </c>
      <c r="AM12" s="12">
        <f t="shared" si="3"/>
        <v>1.6431676725154982</v>
      </c>
      <c r="AN12" s="12">
        <f t="shared" si="3"/>
        <v>1.2247448713915889</v>
      </c>
      <c r="AO12" s="12">
        <f t="shared" si="3"/>
        <v>1.3038404810405295</v>
      </c>
      <c r="AP12" s="12">
        <f t="shared" si="3"/>
        <v>0.54772255750516674</v>
      </c>
      <c r="AQ12" s="12">
        <f t="shared" si="3"/>
        <v>0.8944271909999163</v>
      </c>
      <c r="AR12" s="12">
        <f t="shared" si="3"/>
        <v>1.3038404810405295</v>
      </c>
      <c r="AS12" s="12">
        <f t="shared" si="3"/>
        <v>1.6431676725154982</v>
      </c>
      <c r="AT12" s="12">
        <f t="shared" si="3"/>
        <v>1.2247448713915889</v>
      </c>
      <c r="AU12" s="12">
        <f t="shared" si="3"/>
        <v>0.54772255750516674</v>
      </c>
      <c r="AV12" s="12">
        <f t="shared" si="3"/>
        <v>0.70710678118654757</v>
      </c>
      <c r="AW12" s="12">
        <f t="shared" si="3"/>
        <v>1.2247448713915889</v>
      </c>
    </row>
    <row r="13" spans="1:49">
      <c r="E13">
        <f>AVERAGE(E3:G7)</f>
        <v>4.5999999999999996</v>
      </c>
      <c r="H13">
        <f>AVERAGE(H3:J7)</f>
        <v>3.0666666666666669</v>
      </c>
      <c r="K13">
        <f>AVERAGE(K3:M7)</f>
        <v>3.4</v>
      </c>
      <c r="N13">
        <f>AVERAGE(N3:P7)</f>
        <v>3.9333333333333331</v>
      </c>
      <c r="Q13">
        <f>AVERAGE(Q3:S7)</f>
        <v>3.8</v>
      </c>
      <c r="T13">
        <f>AVERAGE(T3:V7)</f>
        <v>4.333333333333333</v>
      </c>
      <c r="W13">
        <f>AVERAGE(W3:Y7)</f>
        <v>3.4</v>
      </c>
      <c r="Z13">
        <f>AVERAGE(Z3:AB7)</f>
        <v>3.9333333333333331</v>
      </c>
      <c r="AC13">
        <f>AVERAGE(AC3:AE7)</f>
        <v>3.8666666666666667</v>
      </c>
      <c r="AF13">
        <f>AVERAGE(AF3:AH7)</f>
        <v>3.7333333333333334</v>
      </c>
      <c r="AI13">
        <f>AVERAGE(AI3:AK7)</f>
        <v>3.9333333333333331</v>
      </c>
      <c r="AL13">
        <f>AVERAGE(AL3:AN7)</f>
        <v>3.6</v>
      </c>
      <c r="AO13">
        <f>AVERAGE(AO3:AQ7)</f>
        <v>4.2</v>
      </c>
      <c r="AR13">
        <f>AVERAGE(AR3:AT7)</f>
        <v>4</v>
      </c>
      <c r="AU13">
        <f>AVERAGE(AU3:AW7)</f>
        <v>4.2</v>
      </c>
    </row>
    <row r="14" spans="1:49">
      <c r="G14" s="5" t="s">
        <v>42</v>
      </c>
    </row>
    <row r="15" spans="1:49">
      <c r="G15" s="6" t="s">
        <v>43</v>
      </c>
    </row>
    <row r="16" spans="1:49">
      <c r="G16" s="7" t="s">
        <v>44</v>
      </c>
    </row>
    <row r="17" spans="3:41">
      <c r="C17" s="30" t="s">
        <v>45</v>
      </c>
      <c r="D17" s="16" t="s">
        <v>4</v>
      </c>
      <c r="E17" s="16">
        <f>AVERAGE(E3:G7)</f>
        <v>4.5999999999999996</v>
      </c>
      <c r="F17" s="15"/>
      <c r="G17" s="31"/>
      <c r="H17" s="16"/>
      <c r="I17" s="16"/>
      <c r="J17" s="31"/>
      <c r="K17" s="16"/>
      <c r="L17" s="16"/>
      <c r="U17" s="30" t="s">
        <v>46</v>
      </c>
      <c r="V17" s="16" t="s">
        <v>4</v>
      </c>
      <c r="W17" s="16">
        <f>AVERAGE(T3:V7)</f>
        <v>4.333333333333333</v>
      </c>
      <c r="AM17" s="31" t="s">
        <v>47</v>
      </c>
      <c r="AN17" s="16" t="s">
        <v>4</v>
      </c>
      <c r="AO17" s="16">
        <f>AVERAGE(AI3:AK7)</f>
        <v>3.9333333333333331</v>
      </c>
    </row>
    <row r="18" spans="3:41">
      <c r="C18" s="30"/>
      <c r="D18" s="17" t="s">
        <v>5</v>
      </c>
      <c r="E18" s="17">
        <f>AVERAGE(H3:J7)</f>
        <v>3.0666666666666669</v>
      </c>
      <c r="F18" s="15"/>
      <c r="G18" s="31"/>
      <c r="H18" s="15"/>
      <c r="I18" s="15"/>
      <c r="J18" s="31"/>
      <c r="K18" s="15"/>
      <c r="L18" s="15"/>
      <c r="U18" s="30"/>
      <c r="V18" s="17" t="s">
        <v>5</v>
      </c>
      <c r="W18" s="17">
        <f>AVERAGE(W3:Y7)</f>
        <v>3.4</v>
      </c>
      <c r="AM18" s="31"/>
      <c r="AN18" s="17" t="s">
        <v>5</v>
      </c>
      <c r="AO18" s="17">
        <f>AVERAGE(AL3:AN7)</f>
        <v>3.6</v>
      </c>
    </row>
    <row r="19" spans="3:41">
      <c r="C19" s="30"/>
      <c r="D19" s="18" t="s">
        <v>6</v>
      </c>
      <c r="E19" s="18">
        <f>AVERAGE(K3:M7)</f>
        <v>3.4</v>
      </c>
      <c r="F19" s="15"/>
      <c r="G19" s="31"/>
      <c r="H19" s="15"/>
      <c r="I19" s="15"/>
      <c r="J19" s="31"/>
      <c r="K19" s="15"/>
      <c r="L19" s="15"/>
      <c r="U19" s="30"/>
      <c r="V19" s="18" t="s">
        <v>6</v>
      </c>
      <c r="W19" s="18">
        <f>AVERAGE(Z3:AB7)</f>
        <v>3.9333333333333331</v>
      </c>
      <c r="AM19" s="31"/>
      <c r="AN19" s="18" t="s">
        <v>6</v>
      </c>
      <c r="AO19" s="18">
        <f>AVERAGE(AO3:AQ7)</f>
        <v>4.2</v>
      </c>
    </row>
    <row r="20" spans="3:41">
      <c r="C20" s="30"/>
      <c r="D20" s="19" t="s">
        <v>48</v>
      </c>
      <c r="E20" s="19">
        <f>AVERAGE(N3:P7)</f>
        <v>3.9333333333333331</v>
      </c>
      <c r="F20" s="15"/>
      <c r="G20" s="31"/>
      <c r="H20" s="15"/>
      <c r="I20" s="15"/>
      <c r="J20" s="31"/>
      <c r="K20" s="15"/>
      <c r="L20" s="15"/>
      <c r="U20" s="30"/>
      <c r="V20" s="19" t="s">
        <v>48</v>
      </c>
      <c r="W20" s="19">
        <f>AVERAGE(AC3:AE7)</f>
        <v>3.8666666666666667</v>
      </c>
      <c r="AM20" s="31"/>
      <c r="AN20" s="19" t="s">
        <v>48</v>
      </c>
      <c r="AO20" s="19">
        <f>AVERAGE(AR3:AT7)</f>
        <v>4</v>
      </c>
    </row>
    <row r="21" spans="3:41">
      <c r="C21" s="30"/>
      <c r="D21" s="20" t="s">
        <v>8</v>
      </c>
      <c r="E21" s="20">
        <f>AVERAGE(Q3:S7)</f>
        <v>3.8</v>
      </c>
      <c r="F21" s="15"/>
      <c r="G21" s="31"/>
      <c r="H21" s="15"/>
      <c r="I21" s="15"/>
      <c r="J21" s="31"/>
      <c r="K21" s="15"/>
      <c r="L21" s="15"/>
      <c r="U21" s="30"/>
      <c r="V21" s="20" t="s">
        <v>8</v>
      </c>
      <c r="W21" s="20">
        <f>AVERAGE(AF3:AH7)</f>
        <v>3.7333333333333334</v>
      </c>
      <c r="AM21" s="31"/>
      <c r="AN21" s="20" t="s">
        <v>8</v>
      </c>
      <c r="AO21" s="20">
        <f>AVERAGE(AU3:AW7)</f>
        <v>4.2</v>
      </c>
    </row>
    <row r="25" spans="3:41" ht="12.95">
      <c r="L25" s="28" t="s">
        <v>49</v>
      </c>
      <c r="M25" s="28"/>
      <c r="N25" s="28"/>
      <c r="O25" s="28"/>
      <c r="P25" s="28"/>
      <c r="Q25" s="28"/>
      <c r="R25" s="28"/>
      <c r="S25" s="28"/>
      <c r="T25" s="28"/>
      <c r="U25" s="28"/>
    </row>
    <row r="26" spans="3:41" ht="12.75">
      <c r="E26" s="24" t="s">
        <v>50</v>
      </c>
      <c r="F26" s="24"/>
      <c r="G26" s="24"/>
      <c r="H26" s="24"/>
      <c r="I26" s="24"/>
      <c r="L26" s="15"/>
      <c r="M26" s="20" t="s">
        <v>51</v>
      </c>
      <c r="N26" s="20"/>
      <c r="O26" s="25"/>
      <c r="P26" s="20" t="s">
        <v>52</v>
      </c>
      <c r="Q26" s="20"/>
      <c r="R26" s="25"/>
      <c r="S26" s="20" t="s">
        <v>53</v>
      </c>
      <c r="T26" s="20"/>
      <c r="U26" s="35" t="s">
        <v>54</v>
      </c>
    </row>
    <row r="27" spans="3:41">
      <c r="E27" t="s">
        <v>4</v>
      </c>
      <c r="F27" t="s">
        <v>5</v>
      </c>
      <c r="G27" t="s">
        <v>6</v>
      </c>
      <c r="H27" t="s">
        <v>48</v>
      </c>
      <c r="I27" t="s">
        <v>8</v>
      </c>
      <c r="L27" s="15" t="s">
        <v>38</v>
      </c>
      <c r="M27" s="15">
        <f>AVERAGE(E3:S7)</f>
        <v>3.76</v>
      </c>
      <c r="N27" s="15"/>
      <c r="O27" s="26"/>
      <c r="P27" s="15">
        <f>AVERAGE(T3:AH7)</f>
        <v>3.8533333333333335</v>
      </c>
      <c r="Q27" s="15"/>
      <c r="R27" s="26"/>
      <c r="S27" s="15">
        <f>AVERAGE(AI3:AW7)</f>
        <v>3.9866666666666668</v>
      </c>
      <c r="T27" s="15"/>
      <c r="U27">
        <f>AVERAGE(M27,P27,S27)</f>
        <v>3.8666666666666667</v>
      </c>
    </row>
    <row r="28" spans="3:41">
      <c r="E28">
        <f>AVERAGE(E17,W17,AO17)</f>
        <v>4.2888888888888888</v>
      </c>
      <c r="F28">
        <f>AVERAGE(E18,W18,AO18)</f>
        <v>3.3555555555555556</v>
      </c>
      <c r="G28">
        <f>AVERAGE(E19,W19,AO19)</f>
        <v>3.8444444444444446</v>
      </c>
      <c r="H28">
        <f>AVERAGE(E20,W20,AO20)</f>
        <v>3.9333333333333336</v>
      </c>
      <c r="I28">
        <f>AVERAGE(E21,W21,AO21)</f>
        <v>3.9111111111111114</v>
      </c>
      <c r="L28" s="15" t="s">
        <v>55</v>
      </c>
      <c r="M28" s="15">
        <f>STDEV(E3:S7)</f>
        <v>1.3640163270799002</v>
      </c>
      <c r="N28" s="15"/>
      <c r="O28" s="27"/>
      <c r="P28" s="15">
        <f>STDEV(T3:AH7)</f>
        <v>1.1819970884554321</v>
      </c>
      <c r="Q28" s="15"/>
      <c r="R28" s="27"/>
      <c r="S28" s="15">
        <f>STDEV(AI3:AW7)</f>
        <v>1.1448277733487386</v>
      </c>
      <c r="T28" s="15"/>
      <c r="U28" s="15">
        <f>AVERAGE(M28,P28,S28)</f>
        <v>1.2302803962946902</v>
      </c>
    </row>
    <row r="29" spans="3:41">
      <c r="O29" s="21" t="s">
        <v>56</v>
      </c>
      <c r="P29" s="21"/>
      <c r="Q29" s="21"/>
    </row>
    <row r="30" spans="3:41">
      <c r="O30">
        <f>AVERAGE(M27,P27,S27)</f>
        <v>3.8666666666666667</v>
      </c>
    </row>
    <row r="38" spans="26:26">
      <c r="Z38">
        <v>4</v>
      </c>
    </row>
  </sheetData>
  <mergeCells count="25">
    <mergeCell ref="AO1:AQ1"/>
    <mergeCell ref="AR1:AT1"/>
    <mergeCell ref="AU1:AW1"/>
    <mergeCell ref="T1:V1"/>
    <mergeCell ref="W1:Y1"/>
    <mergeCell ref="Z1:AB1"/>
    <mergeCell ref="AC1:AE1"/>
    <mergeCell ref="AF1:AH1"/>
    <mergeCell ref="AM17:AM21"/>
    <mergeCell ref="G17:G21"/>
    <mergeCell ref="J17:J21"/>
    <mergeCell ref="AI1:AK1"/>
    <mergeCell ref="AL1:AN1"/>
    <mergeCell ref="E1:G1"/>
    <mergeCell ref="H1:J1"/>
    <mergeCell ref="K1:M1"/>
    <mergeCell ref="N1:P1"/>
    <mergeCell ref="Q1:S1"/>
    <mergeCell ref="E26:I26"/>
    <mergeCell ref="R26:R28"/>
    <mergeCell ref="O26:O28"/>
    <mergeCell ref="L25:U25"/>
    <mergeCell ref="C9:C12"/>
    <mergeCell ref="C17:C21"/>
    <mergeCell ref="U17:U21"/>
  </mergeCells>
  <pageMargins left="0.75" right="0.75" top="1" bottom="1" header="0.5" footer="0.5"/>
  <pageSetup orientation="portrait"/>
  <headerFooter>
    <oddFooter>&amp;L_x000D_&amp;1#&amp;"Calibri"&amp;10&amp;K000000 LUT Group Confidential - Other information (3Y)</oddFooter>
  </headerFooter>
</worksheet>
</file>

<file path=docMetadata/LabelInfo.xml><?xml version="1.0" encoding="utf-8"?>
<clbl:labelList xmlns:clbl="http://schemas.microsoft.com/office/2020/mipLabelMetadata">
  <clbl:label id="{4306014c-c088-4a50-b503-4830bda7971c}" enabled="1" method="Standard" siteId="{9d97530e-8f27-4137-a2a9-5cb4dcf26f2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Syed Naqvi (LUT)</cp:lastModifiedBy>
  <cp:revision/>
  <dcterms:created xsi:type="dcterms:W3CDTF">2025-12-06T10:28:23Z</dcterms:created>
  <dcterms:modified xsi:type="dcterms:W3CDTF">2025-12-06T10:28:23Z</dcterms:modified>
  <cp:category/>
  <cp:contentStatus/>
</cp:coreProperties>
</file>