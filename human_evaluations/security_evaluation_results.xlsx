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ut-my.sharepoint.com/personal/syed_naqvi_lut_fi/Documents/IST SP October 2025/"/>
    </mc:Choice>
  </mc:AlternateContent>
  <xr:revisionPtr revIDLastSave="144" documentId="13_ncr:1_{050C748C-C0D5-40D7-9C3A-485AEDB488A4}" xr6:coauthVersionLast="47" xr6:coauthVersionMax="47" xr10:uidLastSave="{6C27CAC7-6794-4BB2-A405-BCAE655E88EB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I32" i="1"/>
  <c r="E43" i="1"/>
  <c r="C43" i="1"/>
  <c r="E40" i="1"/>
  <c r="E41" i="1"/>
  <c r="E39" i="1"/>
  <c r="C41" i="1"/>
  <c r="C40" i="1"/>
  <c r="C39" i="1"/>
  <c r="Q30" i="1"/>
  <c r="Q31" i="1"/>
  <c r="Q32" i="1"/>
  <c r="Q33" i="1"/>
  <c r="Q29" i="1"/>
  <c r="M33" i="1"/>
  <c r="M32" i="1"/>
  <c r="M31" i="1"/>
  <c r="M30" i="1"/>
  <c r="M29" i="1"/>
  <c r="I31" i="1"/>
  <c r="I30" i="1"/>
  <c r="I29" i="1"/>
  <c r="I33" i="1"/>
  <c r="D33" i="1"/>
  <c r="D31" i="1"/>
  <c r="D30" i="1"/>
  <c r="D29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E16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E15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E14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E13" i="1"/>
</calcChain>
</file>

<file path=xl/sharedStrings.xml><?xml version="1.0" encoding="utf-8"?>
<sst xmlns="http://schemas.openxmlformats.org/spreadsheetml/2006/main" count="130" uniqueCount="60">
  <si>
    <t>Participants</t>
  </si>
  <si>
    <t>Participation consent</t>
  </si>
  <si>
    <t>Current role</t>
  </si>
  <si>
    <t>Number of years of experience</t>
  </si>
  <si>
    <t>-</t>
  </si>
  <si>
    <t>I agree to participate in the survey</t>
  </si>
  <si>
    <t/>
  </si>
  <si>
    <t>The system checks that reset code belongs to the user.</t>
  </si>
  <si>
    <t>The same reset code works for any other user.</t>
  </si>
  <si>
    <t>The previous sessions still work after a password reset by the user.</t>
  </si>
  <si>
    <t>The website uses HTTPs with latest TLS version.</t>
  </si>
  <si>
    <t>The reset codes and user data stored are using appropriate encryption algorithm.</t>
  </si>
  <si>
    <t>The email message guard/hide user’s private data.</t>
  </si>
  <si>
    <t>The code sanitizes user supplied data like Email and passwords.</t>
  </si>
  <si>
    <t>The redirect links are safe and go only to the hospital’s site.</t>
  </si>
  <si>
    <t>The email templates are safe and contain no script or HTML from user text.</t>
  </si>
  <si>
    <t>The user’s private information or tokens are shown in error pages or logs.</t>
  </si>
  <si>
    <t>The passwords and secret codes are stored safely and not in the code.</t>
  </si>
  <si>
    <t>The system allows default credentials.</t>
  </si>
  <si>
    <t>The system bars the user from making several wrong attempts.</t>
  </si>
  <si>
    <t>The application show if the username/email does not exist.</t>
  </si>
  <si>
    <t>The password reset code is random, complex and user specific.</t>
  </si>
  <si>
    <t>P-6</t>
  </si>
  <si>
    <t>Web Developer</t>
  </si>
  <si>
    <t>P-7</t>
  </si>
  <si>
    <t>Full stack developer</t>
  </si>
  <si>
    <t>P-8</t>
  </si>
  <si>
    <t>Summer Trainee Vulnerability Management</t>
  </si>
  <si>
    <t>P-9</t>
  </si>
  <si>
    <t>Senior Cyber Security Engineer</t>
  </si>
  <si>
    <t>P-10</t>
  </si>
  <si>
    <t>Security Researcher</t>
  </si>
  <si>
    <t>P-11</t>
  </si>
  <si>
    <t>Malware Researcher</t>
  </si>
  <si>
    <t>P-12</t>
  </si>
  <si>
    <t>Senior Malware Researcher</t>
  </si>
  <si>
    <t>P-13</t>
  </si>
  <si>
    <t>Lecturer Information Security</t>
  </si>
  <si>
    <t>Average</t>
  </si>
  <si>
    <t>Median</t>
  </si>
  <si>
    <t>Variance</t>
  </si>
  <si>
    <t>Standard deviation</t>
  </si>
  <si>
    <t>Case 1</t>
  </si>
  <si>
    <t>Case 2</t>
  </si>
  <si>
    <t>Case 3</t>
  </si>
  <si>
    <t>CASE 1 Averages</t>
  </si>
  <si>
    <t>CASE 2 AVERAGES</t>
  </si>
  <si>
    <t>CASE 3 AVERAGES</t>
  </si>
  <si>
    <t>AVERAGE ACROSS CASES</t>
  </si>
  <si>
    <t>OVERALL AVERAGE/SD ACROSS ALL ITEMS</t>
  </si>
  <si>
    <t>AVERAGE</t>
  </si>
  <si>
    <t>SD</t>
  </si>
  <si>
    <t>CASE 1</t>
  </si>
  <si>
    <t>CASE 2</t>
  </si>
  <si>
    <t>CASE 3</t>
  </si>
  <si>
    <t>A01:2025</t>
  </si>
  <si>
    <t>A03:2025</t>
  </si>
  <si>
    <t>A05:2025</t>
  </si>
  <si>
    <t>A07:2025</t>
  </si>
  <si>
    <t>A02:2025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</si>
</sst>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0" xfId="0" applyFill="1"/>
    <xf numFmtId="0" fontId="0" fillId="6" borderId="0" xfId="0" applyFill="1"/>
    <xf numFmtId="0" fontId="1" fillId="2" borderId="1" xfId="0" applyFont="1" applyFill="1" applyBorder="1" applyAlignment="1">
      <alignment horizontal="center" wrapText="1"/>
    </xf>
    <xf numFmtId="0" fontId="0" fillId="2" borderId="1" xfId="0" applyFill="1" applyBorder="1"/>
    <xf numFmtId="0" fontId="1" fillId="3" borderId="1" xfId="0" applyFont="1" applyFill="1" applyBorder="1" applyAlignment="1">
      <alignment horizontal="center" wrapText="1"/>
    </xf>
    <xf numFmtId="0" fontId="0" fillId="3" borderId="1" xfId="0" applyFill="1" applyBorder="1"/>
    <xf numFmtId="0" fontId="1" fillId="4" borderId="1" xfId="0" applyFont="1" applyFill="1" applyBorder="1" applyAlignment="1">
      <alignment horizontal="center" wrapText="1"/>
    </xf>
    <xf numFmtId="0" fontId="0" fillId="4" borderId="1" xfId="0" applyFill="1" applyBorder="1"/>
    <xf numFmtId="0" fontId="1" fillId="0" borderId="1" xfId="0" applyFont="1" applyBorder="1" applyAlignment="1">
      <alignment horizontal="center" wrapText="1"/>
    </xf>
    <xf numFmtId="0" fontId="1" fillId="0" borderId="0" xfId="0" applyFont="1"/>
    <xf numFmtId="0" fontId="1" fillId="9" borderId="0" xfId="0" applyFont="1" applyFill="1"/>
    <xf numFmtId="0" fontId="0" fillId="9" borderId="0" xfId="0" applyFill="1"/>
    <xf numFmtId="0" fontId="0" fillId="0" borderId="1" xfId="0" applyBorder="1"/>
    <xf numFmtId="0" fontId="1" fillId="10" borderId="0" xfId="0" applyFont="1" applyFill="1"/>
    <xf numFmtId="0" fontId="1" fillId="4" borderId="0" xfId="0" applyFont="1" applyFill="1"/>
    <xf numFmtId="0" fontId="1" fillId="4" borderId="1" xfId="0" applyFont="1" applyFill="1" applyBorder="1" applyAlignment="1">
      <alignment horizontal="center" wrapText="1"/>
    </xf>
    <xf numFmtId="0" fontId="0" fillId="4" borderId="1" xfId="0" applyFill="1" applyBorder="1"/>
    <xf numFmtId="0" fontId="1" fillId="3" borderId="1" xfId="0" applyFont="1" applyFill="1" applyBorder="1" applyAlignment="1">
      <alignment horizontal="center" wrapText="1"/>
    </xf>
    <xf numFmtId="0" fontId="0" fillId="3" borderId="1" xfId="0" applyFill="1" applyBorder="1"/>
    <xf numFmtId="0" fontId="1" fillId="2" borderId="1" xfId="0" applyFont="1" applyFill="1" applyBorder="1" applyAlignment="1">
      <alignment horizontal="center" wrapText="1"/>
    </xf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B9BCE-5D9B-4E2E-90DF-EB7FAF17EA01}">
  <dimension ref="A1:AW43"/>
  <sheetViews>
    <sheetView tabSelected="1" workbookViewId="0">
      <selection activeCell="H1" sqref="H1:J1"/>
    </sheetView>
  </sheetViews>
  <sheetFormatPr defaultRowHeight="12.5" x14ac:dyDescent="0.25"/>
  <cols>
    <col min="1" max="1" width="17.54296875" customWidth="1"/>
    <col min="3" max="3" width="24" customWidth="1"/>
    <col min="4" max="4" width="18.1796875" customWidth="1"/>
  </cols>
  <sheetData>
    <row r="1" spans="1:49" ht="39" x14ac:dyDescent="0.3">
      <c r="A1" s="2" t="s">
        <v>0</v>
      </c>
      <c r="B1" s="2" t="s">
        <v>1</v>
      </c>
      <c r="C1" s="2" t="s">
        <v>2</v>
      </c>
      <c r="D1" s="2" t="s">
        <v>3</v>
      </c>
      <c r="E1" s="30" t="s">
        <v>55</v>
      </c>
      <c r="F1" s="31"/>
      <c r="G1" s="31"/>
      <c r="H1" s="30" t="s">
        <v>59</v>
      </c>
      <c r="I1" s="31"/>
      <c r="J1" s="31"/>
      <c r="K1" s="30" t="s">
        <v>56</v>
      </c>
      <c r="L1" s="31"/>
      <c r="M1" s="31"/>
      <c r="N1" s="30" t="s">
        <v>57</v>
      </c>
      <c r="O1" s="31"/>
      <c r="P1" s="31"/>
      <c r="Q1" s="30" t="s">
        <v>58</v>
      </c>
      <c r="R1" s="31"/>
      <c r="S1" s="31"/>
      <c r="T1" s="28" t="s">
        <v>55</v>
      </c>
      <c r="U1" s="29"/>
      <c r="V1" s="29"/>
      <c r="W1" s="28" t="s">
        <v>59</v>
      </c>
      <c r="X1" s="29"/>
      <c r="Y1" s="29"/>
      <c r="Z1" s="28" t="s">
        <v>56</v>
      </c>
      <c r="AA1" s="29"/>
      <c r="AB1" s="29"/>
      <c r="AC1" s="28" t="s">
        <v>57</v>
      </c>
      <c r="AD1" s="29"/>
      <c r="AE1" s="29"/>
      <c r="AF1" s="28" t="s">
        <v>58</v>
      </c>
      <c r="AG1" s="29"/>
      <c r="AH1" s="29"/>
      <c r="AI1" s="26" t="s">
        <v>55</v>
      </c>
      <c r="AJ1" s="27"/>
      <c r="AK1" s="27"/>
      <c r="AL1" s="26" t="s">
        <v>59</v>
      </c>
      <c r="AM1" s="27"/>
      <c r="AN1" s="27"/>
      <c r="AO1" s="26" t="s">
        <v>56</v>
      </c>
      <c r="AP1" s="27"/>
      <c r="AQ1" s="27"/>
      <c r="AR1" s="26" t="s">
        <v>57</v>
      </c>
      <c r="AS1" s="27"/>
      <c r="AT1" s="27"/>
      <c r="AU1" s="26" t="s">
        <v>58</v>
      </c>
      <c r="AV1" s="27"/>
      <c r="AW1" s="27"/>
    </row>
    <row r="2" spans="1:49" ht="13" x14ac:dyDescent="0.3">
      <c r="A2" s="2"/>
      <c r="B2" s="2"/>
      <c r="C2" s="2"/>
      <c r="D2" s="2"/>
      <c r="E2" s="13"/>
      <c r="F2" s="14"/>
      <c r="G2" s="14"/>
      <c r="H2" s="13"/>
      <c r="I2" s="14"/>
      <c r="J2" s="14"/>
      <c r="K2" s="13"/>
      <c r="L2" s="14"/>
      <c r="M2" s="14"/>
      <c r="N2" s="13"/>
      <c r="O2" s="14"/>
      <c r="P2" s="14"/>
      <c r="Q2" s="13"/>
      <c r="R2" s="14"/>
      <c r="S2" s="14"/>
      <c r="T2" s="15"/>
      <c r="U2" s="16"/>
      <c r="V2" s="16"/>
      <c r="W2" s="15"/>
      <c r="X2" s="16"/>
      <c r="Y2" s="16"/>
      <c r="Z2" s="15"/>
      <c r="AA2" s="16"/>
      <c r="AB2" s="16"/>
      <c r="AC2" s="15"/>
      <c r="AD2" s="16"/>
      <c r="AE2" s="16"/>
      <c r="AF2" s="15"/>
      <c r="AG2" s="16"/>
      <c r="AH2" s="16"/>
      <c r="AI2" s="17"/>
      <c r="AJ2" s="18"/>
      <c r="AK2" s="18"/>
      <c r="AL2" s="17"/>
      <c r="AM2" s="18"/>
      <c r="AN2" s="18"/>
      <c r="AO2" s="17"/>
      <c r="AP2" s="18"/>
      <c r="AQ2" s="18"/>
      <c r="AR2" s="17"/>
      <c r="AS2" s="18"/>
      <c r="AT2" s="18"/>
      <c r="AU2" s="17"/>
      <c r="AV2" s="18"/>
      <c r="AW2" s="18"/>
    </row>
    <row r="3" spans="1:49" ht="182" x14ac:dyDescent="0.3">
      <c r="A3" s="2" t="s">
        <v>4</v>
      </c>
      <c r="B3" s="2" t="s">
        <v>5</v>
      </c>
      <c r="C3" s="2" t="s">
        <v>6</v>
      </c>
      <c r="D3" s="2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14</v>
      </c>
      <c r="M3" s="19" t="s">
        <v>15</v>
      </c>
      <c r="N3" s="19" t="s">
        <v>16</v>
      </c>
      <c r="O3" s="19" t="s">
        <v>17</v>
      </c>
      <c r="P3" s="19" t="s">
        <v>18</v>
      </c>
      <c r="Q3" s="19" t="s">
        <v>19</v>
      </c>
      <c r="R3" s="19" t="s">
        <v>20</v>
      </c>
      <c r="S3" s="19" t="s">
        <v>21</v>
      </c>
      <c r="T3" s="19" t="s">
        <v>7</v>
      </c>
      <c r="U3" s="19" t="s">
        <v>8</v>
      </c>
      <c r="V3" s="19" t="s">
        <v>9</v>
      </c>
      <c r="W3" s="19" t="s">
        <v>10</v>
      </c>
      <c r="X3" s="19" t="s">
        <v>11</v>
      </c>
      <c r="Y3" s="19" t="s">
        <v>12</v>
      </c>
      <c r="Z3" s="19" t="s">
        <v>13</v>
      </c>
      <c r="AA3" s="19" t="s">
        <v>14</v>
      </c>
      <c r="AB3" s="19" t="s">
        <v>15</v>
      </c>
      <c r="AC3" s="19" t="s">
        <v>16</v>
      </c>
      <c r="AD3" s="19" t="s">
        <v>17</v>
      </c>
      <c r="AE3" s="19" t="s">
        <v>18</v>
      </c>
      <c r="AF3" s="19" t="s">
        <v>19</v>
      </c>
      <c r="AG3" s="19" t="s">
        <v>20</v>
      </c>
      <c r="AH3" s="19" t="s">
        <v>21</v>
      </c>
      <c r="AI3" s="19" t="s">
        <v>7</v>
      </c>
      <c r="AJ3" s="19" t="s">
        <v>8</v>
      </c>
      <c r="AK3" s="19" t="s">
        <v>9</v>
      </c>
      <c r="AL3" s="19" t="s">
        <v>10</v>
      </c>
      <c r="AM3" s="19" t="s">
        <v>11</v>
      </c>
      <c r="AN3" s="19" t="s">
        <v>12</v>
      </c>
      <c r="AO3" s="19" t="s">
        <v>13</v>
      </c>
      <c r="AP3" s="19" t="s">
        <v>14</v>
      </c>
      <c r="AQ3" s="19" t="s">
        <v>15</v>
      </c>
      <c r="AR3" s="19" t="s">
        <v>16</v>
      </c>
      <c r="AS3" s="19" t="s">
        <v>17</v>
      </c>
      <c r="AT3" s="19" t="s">
        <v>18</v>
      </c>
      <c r="AU3" s="19" t="s">
        <v>19</v>
      </c>
      <c r="AV3" s="19" t="s">
        <v>20</v>
      </c>
      <c r="AW3" s="19" t="s">
        <v>21</v>
      </c>
    </row>
    <row r="4" spans="1:49" x14ac:dyDescent="0.25">
      <c r="A4" s="3" t="s">
        <v>22</v>
      </c>
      <c r="B4" s="1" t="s">
        <v>5</v>
      </c>
      <c r="C4" s="4" t="s">
        <v>23</v>
      </c>
      <c r="D4" s="4">
        <v>1</v>
      </c>
      <c r="E4" s="1">
        <v>5</v>
      </c>
      <c r="F4" s="1">
        <v>1</v>
      </c>
      <c r="G4" s="1">
        <v>1</v>
      </c>
      <c r="H4" s="1">
        <v>4</v>
      </c>
      <c r="I4" s="1">
        <v>4</v>
      </c>
      <c r="J4" s="1">
        <v>5</v>
      </c>
      <c r="K4" s="1">
        <v>4</v>
      </c>
      <c r="L4" s="1">
        <v>5</v>
      </c>
      <c r="M4" s="1">
        <v>5</v>
      </c>
      <c r="N4" s="1">
        <v>4</v>
      </c>
      <c r="O4" s="1">
        <v>1</v>
      </c>
      <c r="P4" s="1">
        <v>5</v>
      </c>
      <c r="Q4" s="1">
        <v>5</v>
      </c>
      <c r="R4" s="1">
        <v>1</v>
      </c>
      <c r="S4" s="1">
        <v>5</v>
      </c>
      <c r="T4" s="1">
        <v>5</v>
      </c>
      <c r="U4" s="1">
        <v>1</v>
      </c>
      <c r="V4" s="1">
        <v>2</v>
      </c>
      <c r="W4" s="1">
        <v>4</v>
      </c>
      <c r="X4" s="1">
        <v>5</v>
      </c>
      <c r="Y4" s="1">
        <v>5</v>
      </c>
      <c r="Z4" s="1">
        <v>4</v>
      </c>
      <c r="AA4" s="1">
        <v>5</v>
      </c>
      <c r="AB4" s="1">
        <v>5</v>
      </c>
      <c r="AC4" s="1">
        <v>2</v>
      </c>
      <c r="AD4" s="1">
        <v>2</v>
      </c>
      <c r="AE4" s="1">
        <v>5</v>
      </c>
      <c r="AF4" s="1">
        <v>5</v>
      </c>
      <c r="AG4" s="1">
        <v>1</v>
      </c>
      <c r="AH4" s="1">
        <v>5</v>
      </c>
      <c r="AI4" s="1">
        <v>5</v>
      </c>
      <c r="AJ4" s="1">
        <v>1</v>
      </c>
      <c r="AK4" s="1">
        <v>2</v>
      </c>
      <c r="AL4" s="1">
        <v>4</v>
      </c>
      <c r="AM4" s="1">
        <v>5</v>
      </c>
      <c r="AN4" s="1">
        <v>5</v>
      </c>
      <c r="AO4" s="1">
        <v>5</v>
      </c>
      <c r="AP4" s="1">
        <v>5</v>
      </c>
      <c r="AQ4" s="1">
        <v>5</v>
      </c>
      <c r="AR4" s="1">
        <v>3</v>
      </c>
      <c r="AS4" s="1">
        <v>4</v>
      </c>
      <c r="AT4" s="1">
        <v>4</v>
      </c>
      <c r="AU4" s="1">
        <v>5</v>
      </c>
      <c r="AV4" s="1">
        <v>1</v>
      </c>
      <c r="AW4" s="1">
        <v>5</v>
      </c>
    </row>
    <row r="5" spans="1:49" x14ac:dyDescent="0.25">
      <c r="A5" s="3" t="s">
        <v>24</v>
      </c>
      <c r="B5" s="1" t="s">
        <v>5</v>
      </c>
      <c r="C5" s="4" t="s">
        <v>25</v>
      </c>
      <c r="D5" s="4">
        <v>3</v>
      </c>
      <c r="E5" s="1">
        <v>5</v>
      </c>
      <c r="F5" s="1">
        <v>1</v>
      </c>
      <c r="G5" s="1">
        <v>3</v>
      </c>
      <c r="H5" s="1">
        <v>5</v>
      </c>
      <c r="I5" s="1">
        <v>5</v>
      </c>
      <c r="J5" s="1">
        <v>5</v>
      </c>
      <c r="K5" s="1">
        <v>5</v>
      </c>
      <c r="L5" s="1">
        <v>5</v>
      </c>
      <c r="M5" s="1">
        <v>5</v>
      </c>
      <c r="N5" s="1">
        <v>5</v>
      </c>
      <c r="O5" s="1">
        <v>5</v>
      </c>
      <c r="P5" s="1">
        <v>1</v>
      </c>
      <c r="Q5" s="1">
        <v>5</v>
      </c>
      <c r="R5" s="1">
        <v>1</v>
      </c>
      <c r="S5" s="1">
        <v>5</v>
      </c>
      <c r="T5" s="1">
        <v>5</v>
      </c>
      <c r="U5" s="1">
        <v>1</v>
      </c>
      <c r="V5" s="1">
        <v>3</v>
      </c>
      <c r="W5" s="1">
        <v>5</v>
      </c>
      <c r="X5" s="1">
        <v>5</v>
      </c>
      <c r="Y5" s="1">
        <v>5</v>
      </c>
      <c r="Z5" s="1">
        <v>5</v>
      </c>
      <c r="AA5" s="1">
        <v>5</v>
      </c>
      <c r="AB5" s="1">
        <v>5</v>
      </c>
      <c r="AC5" s="1">
        <v>5</v>
      </c>
      <c r="AD5" s="1">
        <v>5</v>
      </c>
      <c r="AE5" s="1">
        <v>1</v>
      </c>
      <c r="AF5" s="1">
        <v>5</v>
      </c>
      <c r="AG5" s="1">
        <v>1</v>
      </c>
      <c r="AH5" s="1">
        <v>5</v>
      </c>
      <c r="AI5" s="1">
        <v>5</v>
      </c>
      <c r="AJ5" s="1">
        <v>1</v>
      </c>
      <c r="AK5" s="1">
        <v>3</v>
      </c>
      <c r="AL5" s="1">
        <v>5</v>
      </c>
      <c r="AM5" s="1">
        <v>5</v>
      </c>
      <c r="AN5" s="1">
        <v>5</v>
      </c>
      <c r="AO5" s="1">
        <v>5</v>
      </c>
      <c r="AP5" s="1">
        <v>5</v>
      </c>
      <c r="AQ5" s="1">
        <v>5</v>
      </c>
      <c r="AR5" s="1">
        <v>5</v>
      </c>
      <c r="AS5" s="1">
        <v>5</v>
      </c>
      <c r="AT5" s="1">
        <v>1</v>
      </c>
      <c r="AU5" s="1">
        <v>5</v>
      </c>
      <c r="AV5" s="1">
        <v>1</v>
      </c>
      <c r="AW5" s="1">
        <v>5</v>
      </c>
    </row>
    <row r="6" spans="1:49" x14ac:dyDescent="0.25">
      <c r="A6" s="3" t="s">
        <v>26</v>
      </c>
      <c r="B6" s="1" t="s">
        <v>5</v>
      </c>
      <c r="C6" s="4" t="s">
        <v>27</v>
      </c>
      <c r="D6" s="4">
        <v>2</v>
      </c>
      <c r="E6" s="1">
        <v>5</v>
      </c>
      <c r="F6" s="1">
        <v>2</v>
      </c>
      <c r="G6" s="1">
        <v>2</v>
      </c>
      <c r="H6" s="1">
        <v>4</v>
      </c>
      <c r="I6" s="1">
        <v>4</v>
      </c>
      <c r="J6" s="1">
        <v>4</v>
      </c>
      <c r="K6" s="1">
        <v>3</v>
      </c>
      <c r="L6" s="1">
        <v>4</v>
      </c>
      <c r="M6" s="1">
        <v>3</v>
      </c>
      <c r="N6" s="1">
        <v>4</v>
      </c>
      <c r="O6" s="1">
        <v>2</v>
      </c>
      <c r="P6" s="1">
        <v>4</v>
      </c>
      <c r="Q6" s="1">
        <v>4</v>
      </c>
      <c r="R6" s="1">
        <v>2</v>
      </c>
      <c r="S6" s="1">
        <v>4</v>
      </c>
      <c r="T6" s="1">
        <v>5</v>
      </c>
      <c r="U6" s="1">
        <v>1</v>
      </c>
      <c r="V6" s="1">
        <v>5</v>
      </c>
      <c r="W6" s="1">
        <v>5</v>
      </c>
      <c r="X6" s="1">
        <v>3</v>
      </c>
      <c r="Y6" s="1">
        <v>3</v>
      </c>
      <c r="Z6" s="1">
        <v>4</v>
      </c>
      <c r="AA6" s="1">
        <v>5</v>
      </c>
      <c r="AB6" s="1">
        <v>5</v>
      </c>
      <c r="AC6" s="1">
        <v>5</v>
      </c>
      <c r="AD6" s="1">
        <v>1</v>
      </c>
      <c r="AE6" s="1">
        <v>1</v>
      </c>
      <c r="AF6" s="1">
        <v>5</v>
      </c>
      <c r="AG6" s="1">
        <v>1</v>
      </c>
      <c r="AH6" s="1">
        <v>4</v>
      </c>
      <c r="AI6" s="1">
        <v>5</v>
      </c>
      <c r="AJ6" s="1">
        <v>1</v>
      </c>
      <c r="AK6" s="1">
        <v>1</v>
      </c>
      <c r="AL6" s="1">
        <v>5</v>
      </c>
      <c r="AM6" s="1">
        <v>4</v>
      </c>
      <c r="AN6" s="1">
        <v>4</v>
      </c>
      <c r="AO6" s="1">
        <v>4</v>
      </c>
      <c r="AP6" s="1">
        <v>5</v>
      </c>
      <c r="AQ6" s="1">
        <v>4</v>
      </c>
      <c r="AR6" s="1">
        <v>4</v>
      </c>
      <c r="AS6" s="1">
        <v>2</v>
      </c>
      <c r="AT6" s="1">
        <v>5</v>
      </c>
      <c r="AU6" s="1">
        <v>4</v>
      </c>
      <c r="AV6" s="1">
        <v>1</v>
      </c>
      <c r="AW6" s="1">
        <v>5</v>
      </c>
    </row>
    <row r="7" spans="1:49" x14ac:dyDescent="0.25">
      <c r="A7" s="3" t="s">
        <v>28</v>
      </c>
      <c r="B7" s="1" t="s">
        <v>5</v>
      </c>
      <c r="C7" s="4" t="s">
        <v>29</v>
      </c>
      <c r="D7" s="4">
        <v>4</v>
      </c>
      <c r="E7" s="1">
        <v>4</v>
      </c>
      <c r="F7" s="1">
        <v>3</v>
      </c>
      <c r="G7" s="1">
        <v>1</v>
      </c>
      <c r="H7" s="1">
        <v>5</v>
      </c>
      <c r="I7" s="1">
        <v>5</v>
      </c>
      <c r="J7" s="1">
        <v>5</v>
      </c>
      <c r="K7" s="1">
        <v>5</v>
      </c>
      <c r="L7" s="1">
        <v>5</v>
      </c>
      <c r="M7" s="1">
        <v>5</v>
      </c>
      <c r="N7" s="1">
        <v>1</v>
      </c>
      <c r="O7" s="1">
        <v>5</v>
      </c>
      <c r="P7" s="1">
        <v>1</v>
      </c>
      <c r="Q7" s="1">
        <v>5</v>
      </c>
      <c r="R7" s="1">
        <v>1</v>
      </c>
      <c r="S7" s="1">
        <v>5</v>
      </c>
      <c r="T7" s="1">
        <v>2</v>
      </c>
      <c r="U7" s="1">
        <v>4</v>
      </c>
      <c r="V7" s="1">
        <v>1</v>
      </c>
      <c r="W7" s="1">
        <v>5</v>
      </c>
      <c r="X7" s="1">
        <v>5</v>
      </c>
      <c r="Y7" s="1">
        <v>5</v>
      </c>
      <c r="Z7" s="1">
        <v>5</v>
      </c>
      <c r="AA7" s="1">
        <v>5</v>
      </c>
      <c r="AB7" s="1">
        <v>5</v>
      </c>
      <c r="AC7" s="1">
        <v>1</v>
      </c>
      <c r="AD7" s="1">
        <v>5</v>
      </c>
      <c r="AE7" s="1">
        <v>1</v>
      </c>
      <c r="AF7" s="1">
        <v>5</v>
      </c>
      <c r="AG7" s="1">
        <v>1</v>
      </c>
      <c r="AH7" s="1">
        <v>5</v>
      </c>
      <c r="AI7" s="1">
        <v>2</v>
      </c>
      <c r="AJ7" s="1">
        <v>3</v>
      </c>
      <c r="AK7" s="1">
        <v>1</v>
      </c>
      <c r="AL7" s="1">
        <v>5</v>
      </c>
      <c r="AM7" s="1">
        <v>5</v>
      </c>
      <c r="AN7" s="1">
        <v>5</v>
      </c>
      <c r="AO7" s="1">
        <v>5</v>
      </c>
      <c r="AP7" s="1">
        <v>5</v>
      </c>
      <c r="AQ7" s="1">
        <v>5</v>
      </c>
      <c r="AR7" s="1">
        <v>1</v>
      </c>
      <c r="AS7" s="1">
        <v>5</v>
      </c>
      <c r="AT7" s="1">
        <v>1</v>
      </c>
      <c r="AU7" s="1">
        <v>5</v>
      </c>
      <c r="AV7" s="1">
        <v>1</v>
      </c>
      <c r="AW7" s="1">
        <v>5</v>
      </c>
    </row>
    <row r="8" spans="1:49" x14ac:dyDescent="0.25">
      <c r="A8" s="3" t="s">
        <v>30</v>
      </c>
      <c r="B8" s="1" t="s">
        <v>5</v>
      </c>
      <c r="C8" s="4" t="s">
        <v>31</v>
      </c>
      <c r="D8" s="4">
        <v>1</v>
      </c>
      <c r="E8" s="1">
        <v>5</v>
      </c>
      <c r="F8" s="1">
        <v>1</v>
      </c>
      <c r="G8" s="1">
        <v>5</v>
      </c>
      <c r="H8" s="1">
        <v>4</v>
      </c>
      <c r="I8" s="1">
        <v>4</v>
      </c>
      <c r="J8" s="1">
        <v>4</v>
      </c>
      <c r="K8" s="1">
        <v>3</v>
      </c>
      <c r="L8" s="1">
        <v>3</v>
      </c>
      <c r="M8" s="1">
        <v>4</v>
      </c>
      <c r="N8" s="1">
        <v>4</v>
      </c>
      <c r="O8" s="1">
        <v>5</v>
      </c>
      <c r="P8" s="1">
        <v>3</v>
      </c>
      <c r="Q8" s="1">
        <v>5</v>
      </c>
      <c r="R8" s="1">
        <v>5</v>
      </c>
      <c r="S8" s="1">
        <v>4</v>
      </c>
      <c r="T8" s="1">
        <v>5</v>
      </c>
      <c r="U8" s="1">
        <v>1</v>
      </c>
      <c r="V8" s="1">
        <v>4</v>
      </c>
      <c r="W8" s="1">
        <v>5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5</v>
      </c>
      <c r="AD8" s="1">
        <v>4</v>
      </c>
      <c r="AE8" s="1">
        <v>5</v>
      </c>
      <c r="AF8" s="1">
        <v>5</v>
      </c>
      <c r="AG8" s="1">
        <v>1</v>
      </c>
      <c r="AH8" s="1">
        <v>4</v>
      </c>
      <c r="AI8" s="1">
        <v>5</v>
      </c>
      <c r="AJ8" s="1">
        <v>5</v>
      </c>
      <c r="AK8" s="1">
        <v>5</v>
      </c>
      <c r="AL8" s="1">
        <v>5</v>
      </c>
      <c r="AM8" s="1">
        <v>5</v>
      </c>
      <c r="AN8" s="1">
        <v>4</v>
      </c>
      <c r="AO8" s="1">
        <v>3</v>
      </c>
      <c r="AP8" s="1">
        <v>5</v>
      </c>
      <c r="AQ8" s="1">
        <v>4</v>
      </c>
      <c r="AR8" s="1">
        <v>3</v>
      </c>
      <c r="AS8" s="1">
        <v>4</v>
      </c>
      <c r="AT8" s="1">
        <v>4</v>
      </c>
      <c r="AU8" s="1">
        <v>5</v>
      </c>
      <c r="AV8" s="1">
        <v>1</v>
      </c>
      <c r="AW8" s="1">
        <v>4</v>
      </c>
    </row>
    <row r="9" spans="1:49" x14ac:dyDescent="0.25">
      <c r="A9" s="3" t="s">
        <v>32</v>
      </c>
      <c r="B9" s="1" t="s">
        <v>5</v>
      </c>
      <c r="C9" s="4" t="s">
        <v>33</v>
      </c>
      <c r="D9" s="4">
        <v>4</v>
      </c>
      <c r="E9" s="1">
        <v>5</v>
      </c>
      <c r="F9" s="1">
        <v>5</v>
      </c>
      <c r="G9" s="1">
        <v>4</v>
      </c>
      <c r="H9" s="1">
        <v>4</v>
      </c>
      <c r="I9" s="1">
        <v>5</v>
      </c>
      <c r="J9" s="1">
        <v>4</v>
      </c>
      <c r="K9" s="1">
        <v>4</v>
      </c>
      <c r="L9" s="1">
        <v>5</v>
      </c>
      <c r="M9" s="1">
        <v>5</v>
      </c>
      <c r="N9" s="1">
        <v>3</v>
      </c>
      <c r="O9" s="1">
        <v>4</v>
      </c>
      <c r="P9" s="1">
        <v>2</v>
      </c>
      <c r="Q9" s="1">
        <v>5</v>
      </c>
      <c r="R9" s="1">
        <v>5</v>
      </c>
      <c r="S9" s="1">
        <v>5</v>
      </c>
      <c r="T9" s="1">
        <v>5</v>
      </c>
      <c r="U9" s="1">
        <v>5</v>
      </c>
      <c r="V9" s="1">
        <v>4</v>
      </c>
      <c r="W9" s="1">
        <v>4</v>
      </c>
      <c r="X9" s="1">
        <v>5</v>
      </c>
      <c r="Y9" s="1">
        <v>4</v>
      </c>
      <c r="Z9" s="1">
        <v>4</v>
      </c>
      <c r="AA9" s="1">
        <v>5</v>
      </c>
      <c r="AB9" s="1">
        <v>5</v>
      </c>
      <c r="AC9" s="1">
        <v>3</v>
      </c>
      <c r="AD9" s="1">
        <v>4</v>
      </c>
      <c r="AE9" s="1">
        <v>2</v>
      </c>
      <c r="AF9" s="1">
        <v>5</v>
      </c>
      <c r="AG9" s="1">
        <v>5</v>
      </c>
      <c r="AH9" s="1">
        <v>5</v>
      </c>
      <c r="AI9" s="1">
        <v>5</v>
      </c>
      <c r="AJ9" s="1">
        <v>5</v>
      </c>
      <c r="AK9" s="1">
        <v>5</v>
      </c>
      <c r="AL9" s="1">
        <v>4</v>
      </c>
      <c r="AM9" s="1">
        <v>4</v>
      </c>
      <c r="AN9" s="1">
        <v>4</v>
      </c>
      <c r="AO9" s="1">
        <v>4</v>
      </c>
      <c r="AP9" s="1">
        <v>5</v>
      </c>
      <c r="AQ9" s="1">
        <v>5</v>
      </c>
      <c r="AR9" s="1">
        <v>2</v>
      </c>
      <c r="AS9" s="1">
        <v>3</v>
      </c>
      <c r="AT9" s="1">
        <v>2</v>
      </c>
      <c r="AU9" s="1">
        <v>5</v>
      </c>
      <c r="AV9" s="1">
        <v>5</v>
      </c>
      <c r="AW9" s="1">
        <v>5</v>
      </c>
    </row>
    <row r="10" spans="1:49" x14ac:dyDescent="0.25">
      <c r="A10" s="3" t="s">
        <v>34</v>
      </c>
      <c r="B10" s="1" t="s">
        <v>5</v>
      </c>
      <c r="C10" s="4" t="s">
        <v>35</v>
      </c>
      <c r="D10" s="4">
        <v>5</v>
      </c>
      <c r="E10" s="1">
        <v>5</v>
      </c>
      <c r="F10" s="1">
        <v>1</v>
      </c>
      <c r="G10" s="1">
        <v>2</v>
      </c>
      <c r="H10" s="1">
        <v>5</v>
      </c>
      <c r="I10" s="1">
        <v>5</v>
      </c>
      <c r="J10" s="1">
        <v>5</v>
      </c>
      <c r="K10" s="1">
        <v>4</v>
      </c>
      <c r="L10" s="1">
        <v>2</v>
      </c>
      <c r="M10" s="1">
        <v>5</v>
      </c>
      <c r="N10" s="1">
        <v>1</v>
      </c>
      <c r="O10" s="1">
        <v>5</v>
      </c>
      <c r="P10" s="1">
        <v>1</v>
      </c>
      <c r="Q10" s="1">
        <v>4</v>
      </c>
      <c r="R10" s="1">
        <v>1</v>
      </c>
      <c r="S10" s="1">
        <v>5</v>
      </c>
      <c r="T10" s="1">
        <v>4</v>
      </c>
      <c r="U10" s="1">
        <v>1</v>
      </c>
      <c r="V10" s="1">
        <v>3</v>
      </c>
      <c r="W10" s="1">
        <v>4</v>
      </c>
      <c r="X10" s="1">
        <v>4</v>
      </c>
      <c r="Y10" s="1">
        <v>5</v>
      </c>
      <c r="Z10" s="1">
        <v>4</v>
      </c>
      <c r="AA10" s="1">
        <v>4</v>
      </c>
      <c r="AB10" s="1">
        <v>5</v>
      </c>
      <c r="AC10" s="1">
        <v>2</v>
      </c>
      <c r="AD10" s="1">
        <v>4</v>
      </c>
      <c r="AE10" s="1">
        <v>1</v>
      </c>
      <c r="AF10" s="1">
        <v>5</v>
      </c>
      <c r="AG10" s="1">
        <v>5</v>
      </c>
      <c r="AH10" s="1">
        <v>4</v>
      </c>
      <c r="AI10" s="1">
        <v>4</v>
      </c>
      <c r="AJ10" s="1">
        <v>1</v>
      </c>
      <c r="AK10" s="1">
        <v>3</v>
      </c>
      <c r="AL10" s="1">
        <v>4</v>
      </c>
      <c r="AM10" s="1">
        <v>4</v>
      </c>
      <c r="AN10" s="1">
        <v>5</v>
      </c>
      <c r="AO10" s="1">
        <v>4</v>
      </c>
      <c r="AP10" s="1">
        <v>5</v>
      </c>
      <c r="AQ10" s="1">
        <v>5</v>
      </c>
      <c r="AR10" s="1">
        <v>4</v>
      </c>
      <c r="AS10" s="1">
        <v>5</v>
      </c>
      <c r="AT10" s="1">
        <v>2</v>
      </c>
      <c r="AU10" s="1">
        <v>4</v>
      </c>
      <c r="AV10" s="1">
        <v>4</v>
      </c>
      <c r="AW10" s="1">
        <v>5</v>
      </c>
    </row>
    <row r="11" spans="1:49" x14ac:dyDescent="0.25">
      <c r="A11" s="3" t="s">
        <v>36</v>
      </c>
      <c r="B11" s="1" t="s">
        <v>5</v>
      </c>
      <c r="C11" s="4" t="s">
        <v>37</v>
      </c>
      <c r="D11" s="4">
        <v>5</v>
      </c>
      <c r="E11" s="1">
        <v>4</v>
      </c>
      <c r="F11" s="1">
        <v>4</v>
      </c>
      <c r="G11" s="1">
        <v>4</v>
      </c>
      <c r="H11" s="1">
        <v>5</v>
      </c>
      <c r="I11" s="1">
        <v>5</v>
      </c>
      <c r="J11" s="1">
        <v>2</v>
      </c>
      <c r="K11" s="1">
        <v>3</v>
      </c>
      <c r="L11" s="1">
        <v>3</v>
      </c>
      <c r="M11" s="1">
        <v>3</v>
      </c>
      <c r="N11" s="1">
        <v>3</v>
      </c>
      <c r="O11" s="1">
        <v>2</v>
      </c>
      <c r="P11" s="1">
        <v>3</v>
      </c>
      <c r="Q11" s="1">
        <v>3</v>
      </c>
      <c r="R11" s="1">
        <v>2</v>
      </c>
      <c r="S11" s="1">
        <v>3</v>
      </c>
      <c r="T11" s="1">
        <v>3</v>
      </c>
      <c r="U11" s="1">
        <v>4</v>
      </c>
      <c r="V11" s="1">
        <v>3</v>
      </c>
      <c r="W11" s="1">
        <v>3</v>
      </c>
      <c r="X11" s="1">
        <v>3</v>
      </c>
      <c r="Y11" s="1">
        <v>3</v>
      </c>
      <c r="Z11" s="1">
        <v>4</v>
      </c>
      <c r="AA11" s="1">
        <v>5</v>
      </c>
      <c r="AB11" s="1">
        <v>4</v>
      </c>
      <c r="AC11" s="1">
        <v>3</v>
      </c>
      <c r="AD11" s="1">
        <v>3</v>
      </c>
      <c r="AE11" s="1">
        <v>4</v>
      </c>
      <c r="AF11" s="1">
        <v>4</v>
      </c>
      <c r="AG11" s="1">
        <v>5</v>
      </c>
      <c r="AH11" s="1">
        <v>4</v>
      </c>
      <c r="AI11" s="1">
        <v>5</v>
      </c>
      <c r="AJ11" s="1">
        <v>4</v>
      </c>
      <c r="AK11" s="1">
        <v>4</v>
      </c>
      <c r="AL11" s="1">
        <v>4</v>
      </c>
      <c r="AM11" s="1">
        <v>4</v>
      </c>
      <c r="AN11" s="1">
        <v>4</v>
      </c>
      <c r="AO11" s="1">
        <v>4</v>
      </c>
      <c r="AP11" s="1">
        <v>4</v>
      </c>
      <c r="AQ11" s="1">
        <v>4</v>
      </c>
      <c r="AR11" s="1">
        <v>4</v>
      </c>
      <c r="AS11" s="1">
        <v>4</v>
      </c>
      <c r="AT11" s="1">
        <v>4</v>
      </c>
      <c r="AU11" s="1">
        <v>4</v>
      </c>
      <c r="AV11" s="1">
        <v>4</v>
      </c>
      <c r="AW11" s="1">
        <v>4</v>
      </c>
    </row>
    <row r="13" spans="1:49" s="11" customFormat="1" x14ac:dyDescent="0.25">
      <c r="D13" s="11" t="s">
        <v>38</v>
      </c>
      <c r="E13" s="11">
        <f>AVERAGE(E4:E11)</f>
        <v>4.75</v>
      </c>
      <c r="F13" s="11">
        <f t="shared" ref="F13:AW13" si="0">AVERAGE(F4:F11)</f>
        <v>2.25</v>
      </c>
      <c r="G13" s="11">
        <f t="shared" si="0"/>
        <v>2.75</v>
      </c>
      <c r="H13" s="11">
        <f t="shared" si="0"/>
        <v>4.5</v>
      </c>
      <c r="I13" s="11">
        <f t="shared" si="0"/>
        <v>4.625</v>
      </c>
      <c r="J13" s="11">
        <f t="shared" si="0"/>
        <v>4.25</v>
      </c>
      <c r="K13" s="11">
        <f t="shared" si="0"/>
        <v>3.875</v>
      </c>
      <c r="L13" s="11">
        <f t="shared" si="0"/>
        <v>4</v>
      </c>
      <c r="M13" s="11">
        <f t="shared" si="0"/>
        <v>4.375</v>
      </c>
      <c r="N13" s="11">
        <f t="shared" si="0"/>
        <v>3.125</v>
      </c>
      <c r="O13" s="11">
        <f t="shared" si="0"/>
        <v>3.625</v>
      </c>
      <c r="P13" s="11">
        <f t="shared" si="0"/>
        <v>2.5</v>
      </c>
      <c r="Q13" s="11">
        <f t="shared" si="0"/>
        <v>4.5</v>
      </c>
      <c r="R13" s="11">
        <f t="shared" si="0"/>
        <v>2.25</v>
      </c>
      <c r="S13" s="11">
        <f t="shared" si="0"/>
        <v>4.5</v>
      </c>
      <c r="T13" s="11">
        <f t="shared" si="0"/>
        <v>4.25</v>
      </c>
      <c r="U13" s="11">
        <f t="shared" si="0"/>
        <v>2.25</v>
      </c>
      <c r="V13" s="11">
        <f t="shared" si="0"/>
        <v>3.125</v>
      </c>
      <c r="W13" s="11">
        <f t="shared" si="0"/>
        <v>4.375</v>
      </c>
      <c r="X13" s="11">
        <f t="shared" si="0"/>
        <v>4.375</v>
      </c>
      <c r="Y13" s="11">
        <f t="shared" si="0"/>
        <v>4.375</v>
      </c>
      <c r="Z13" s="11">
        <f t="shared" si="0"/>
        <v>4.375</v>
      </c>
      <c r="AA13" s="11">
        <f t="shared" si="0"/>
        <v>4.875</v>
      </c>
      <c r="AB13" s="11">
        <f t="shared" si="0"/>
        <v>4.875</v>
      </c>
      <c r="AC13" s="11">
        <f t="shared" si="0"/>
        <v>3.25</v>
      </c>
      <c r="AD13" s="11">
        <f t="shared" si="0"/>
        <v>3.5</v>
      </c>
      <c r="AE13" s="11">
        <f t="shared" si="0"/>
        <v>2.5</v>
      </c>
      <c r="AF13" s="11">
        <f t="shared" si="0"/>
        <v>4.875</v>
      </c>
      <c r="AG13" s="11">
        <f t="shared" si="0"/>
        <v>2.5</v>
      </c>
      <c r="AH13" s="11">
        <f t="shared" si="0"/>
        <v>4.5</v>
      </c>
      <c r="AI13" s="11">
        <f t="shared" si="0"/>
        <v>4.5</v>
      </c>
      <c r="AJ13" s="11">
        <f t="shared" si="0"/>
        <v>2.625</v>
      </c>
      <c r="AK13" s="11">
        <f t="shared" si="0"/>
        <v>3</v>
      </c>
      <c r="AL13" s="11">
        <f t="shared" si="0"/>
        <v>4.5</v>
      </c>
      <c r="AM13" s="11">
        <f t="shared" si="0"/>
        <v>4.5</v>
      </c>
      <c r="AN13" s="11">
        <f t="shared" si="0"/>
        <v>4.5</v>
      </c>
      <c r="AO13" s="11">
        <f t="shared" si="0"/>
        <v>4.25</v>
      </c>
      <c r="AP13" s="11">
        <f t="shared" si="0"/>
        <v>4.875</v>
      </c>
      <c r="AQ13" s="11">
        <f t="shared" si="0"/>
        <v>4.625</v>
      </c>
      <c r="AR13" s="11">
        <f t="shared" si="0"/>
        <v>3.25</v>
      </c>
      <c r="AS13" s="11">
        <f t="shared" si="0"/>
        <v>4</v>
      </c>
      <c r="AT13" s="11">
        <f t="shared" si="0"/>
        <v>2.875</v>
      </c>
      <c r="AU13" s="11">
        <f t="shared" si="0"/>
        <v>4.625</v>
      </c>
      <c r="AV13" s="11">
        <f t="shared" si="0"/>
        <v>2.25</v>
      </c>
      <c r="AW13" s="11">
        <f t="shared" si="0"/>
        <v>4.75</v>
      </c>
    </row>
    <row r="14" spans="1:49" s="8" customFormat="1" x14ac:dyDescent="0.25">
      <c r="D14" s="8" t="s">
        <v>39</v>
      </c>
      <c r="E14" s="8">
        <f>MEDIAN(E4:E11)</f>
        <v>5</v>
      </c>
      <c r="F14" s="8">
        <f t="shared" ref="F14:AW14" si="1">MEDIAN(F4:F11)</f>
        <v>1.5</v>
      </c>
      <c r="G14" s="8">
        <f t="shared" si="1"/>
        <v>2.5</v>
      </c>
      <c r="H14" s="8">
        <f t="shared" si="1"/>
        <v>4.5</v>
      </c>
      <c r="I14" s="8">
        <f t="shared" si="1"/>
        <v>5</v>
      </c>
      <c r="J14" s="8">
        <f t="shared" si="1"/>
        <v>4.5</v>
      </c>
      <c r="K14" s="8">
        <f t="shared" si="1"/>
        <v>4</v>
      </c>
      <c r="L14" s="8">
        <f t="shared" si="1"/>
        <v>4.5</v>
      </c>
      <c r="M14" s="8">
        <f t="shared" si="1"/>
        <v>5</v>
      </c>
      <c r="N14" s="8">
        <f t="shared" si="1"/>
        <v>3.5</v>
      </c>
      <c r="O14" s="8">
        <f t="shared" si="1"/>
        <v>4.5</v>
      </c>
      <c r="P14" s="8">
        <f t="shared" si="1"/>
        <v>2.5</v>
      </c>
      <c r="Q14" s="8">
        <f t="shared" si="1"/>
        <v>5</v>
      </c>
      <c r="R14" s="8">
        <f t="shared" si="1"/>
        <v>1.5</v>
      </c>
      <c r="S14" s="8">
        <f t="shared" si="1"/>
        <v>5</v>
      </c>
      <c r="T14" s="8">
        <f t="shared" si="1"/>
        <v>5</v>
      </c>
      <c r="U14" s="8">
        <f t="shared" si="1"/>
        <v>1</v>
      </c>
      <c r="V14" s="8">
        <f t="shared" si="1"/>
        <v>3</v>
      </c>
      <c r="W14" s="8">
        <f t="shared" si="1"/>
        <v>4.5</v>
      </c>
      <c r="X14" s="8">
        <f t="shared" si="1"/>
        <v>5</v>
      </c>
      <c r="Y14" s="8">
        <f t="shared" si="1"/>
        <v>5</v>
      </c>
      <c r="Z14" s="8">
        <f t="shared" si="1"/>
        <v>4</v>
      </c>
      <c r="AA14" s="8">
        <f t="shared" si="1"/>
        <v>5</v>
      </c>
      <c r="AB14" s="8">
        <f t="shared" si="1"/>
        <v>5</v>
      </c>
      <c r="AC14" s="8">
        <f t="shared" si="1"/>
        <v>3</v>
      </c>
      <c r="AD14" s="8">
        <f t="shared" si="1"/>
        <v>4</v>
      </c>
      <c r="AE14" s="8">
        <f t="shared" si="1"/>
        <v>1.5</v>
      </c>
      <c r="AF14" s="8">
        <f t="shared" si="1"/>
        <v>5</v>
      </c>
      <c r="AG14" s="8">
        <f t="shared" si="1"/>
        <v>1</v>
      </c>
      <c r="AH14" s="8">
        <f t="shared" si="1"/>
        <v>4.5</v>
      </c>
      <c r="AI14" s="8">
        <f t="shared" si="1"/>
        <v>5</v>
      </c>
      <c r="AJ14" s="8">
        <f t="shared" si="1"/>
        <v>2</v>
      </c>
      <c r="AK14" s="8">
        <f t="shared" si="1"/>
        <v>3</v>
      </c>
      <c r="AL14" s="8">
        <f t="shared" si="1"/>
        <v>4.5</v>
      </c>
      <c r="AM14" s="8">
        <f t="shared" si="1"/>
        <v>4.5</v>
      </c>
      <c r="AN14" s="8">
        <f t="shared" si="1"/>
        <v>4.5</v>
      </c>
      <c r="AO14" s="8">
        <f t="shared" si="1"/>
        <v>4</v>
      </c>
      <c r="AP14" s="8">
        <f t="shared" si="1"/>
        <v>5</v>
      </c>
      <c r="AQ14" s="8">
        <f t="shared" si="1"/>
        <v>5</v>
      </c>
      <c r="AR14" s="8">
        <f t="shared" si="1"/>
        <v>3.5</v>
      </c>
      <c r="AS14" s="8">
        <f t="shared" si="1"/>
        <v>4</v>
      </c>
      <c r="AT14" s="8">
        <f t="shared" si="1"/>
        <v>3</v>
      </c>
      <c r="AU14" s="8">
        <f t="shared" si="1"/>
        <v>5</v>
      </c>
      <c r="AV14" s="8">
        <f t="shared" si="1"/>
        <v>1</v>
      </c>
      <c r="AW14" s="8">
        <f t="shared" si="1"/>
        <v>5</v>
      </c>
    </row>
    <row r="15" spans="1:49" s="12" customFormat="1" x14ac:dyDescent="0.25">
      <c r="D15" s="9" t="s">
        <v>40</v>
      </c>
      <c r="E15" s="12">
        <f>_xlfn.VAR.P(E4:E11)</f>
        <v>0.1875</v>
      </c>
      <c r="F15" s="12">
        <f t="shared" ref="F15:AW15" si="2">_xlfn.VAR.P(F4:F11)</f>
        <v>2.1875</v>
      </c>
      <c r="G15" s="12">
        <f t="shared" si="2"/>
        <v>1.9375</v>
      </c>
      <c r="H15" s="12">
        <f t="shared" si="2"/>
        <v>0.25</v>
      </c>
      <c r="I15" s="12">
        <f t="shared" si="2"/>
        <v>0.234375</v>
      </c>
      <c r="J15" s="12">
        <f t="shared" si="2"/>
        <v>0.9375</v>
      </c>
      <c r="K15" s="12">
        <f t="shared" si="2"/>
        <v>0.609375</v>
      </c>
      <c r="L15" s="12">
        <f t="shared" si="2"/>
        <v>1.25</v>
      </c>
      <c r="M15" s="12">
        <f t="shared" si="2"/>
        <v>0.734375</v>
      </c>
      <c r="N15" s="12">
        <f t="shared" si="2"/>
        <v>1.859375</v>
      </c>
      <c r="O15" s="12">
        <f t="shared" si="2"/>
        <v>2.484375</v>
      </c>
      <c r="P15" s="12">
        <f t="shared" si="2"/>
        <v>2</v>
      </c>
      <c r="Q15" s="12">
        <f t="shared" si="2"/>
        <v>0.5</v>
      </c>
      <c r="R15" s="12">
        <f t="shared" si="2"/>
        <v>2.6875</v>
      </c>
      <c r="S15" s="12">
        <f t="shared" si="2"/>
        <v>0.5</v>
      </c>
      <c r="T15" s="12">
        <f t="shared" si="2"/>
        <v>1.1875</v>
      </c>
      <c r="U15" s="12">
        <f t="shared" si="2"/>
        <v>2.6875</v>
      </c>
      <c r="V15" s="12">
        <f t="shared" si="2"/>
        <v>1.359375</v>
      </c>
      <c r="W15" s="12">
        <f t="shared" si="2"/>
        <v>0.484375</v>
      </c>
      <c r="X15" s="12">
        <f t="shared" si="2"/>
        <v>0.734375</v>
      </c>
      <c r="Y15" s="12">
        <f t="shared" si="2"/>
        <v>0.734375</v>
      </c>
      <c r="Z15" s="12">
        <f t="shared" si="2"/>
        <v>0.234375</v>
      </c>
      <c r="AA15" s="12">
        <f t="shared" si="2"/>
        <v>0.109375</v>
      </c>
      <c r="AB15" s="12">
        <f t="shared" si="2"/>
        <v>0.109375</v>
      </c>
      <c r="AC15" s="12">
        <f t="shared" si="2"/>
        <v>2.1875</v>
      </c>
      <c r="AD15" s="12">
        <f t="shared" si="2"/>
        <v>1.75</v>
      </c>
      <c r="AE15" s="12">
        <f t="shared" si="2"/>
        <v>3</v>
      </c>
      <c r="AF15" s="12">
        <f t="shared" si="2"/>
        <v>0.109375</v>
      </c>
      <c r="AG15" s="12">
        <f t="shared" si="2"/>
        <v>3.75</v>
      </c>
      <c r="AH15" s="12">
        <f t="shared" si="2"/>
        <v>0.25</v>
      </c>
      <c r="AI15" s="12">
        <f t="shared" si="2"/>
        <v>1</v>
      </c>
      <c r="AJ15" s="12">
        <f t="shared" si="2"/>
        <v>2.984375</v>
      </c>
      <c r="AK15" s="12">
        <f t="shared" si="2"/>
        <v>2.25</v>
      </c>
      <c r="AL15" s="12">
        <f t="shared" si="2"/>
        <v>0.25</v>
      </c>
      <c r="AM15" s="12">
        <f t="shared" si="2"/>
        <v>0.25</v>
      </c>
      <c r="AN15" s="12">
        <f t="shared" si="2"/>
        <v>0.25</v>
      </c>
      <c r="AO15" s="12">
        <f t="shared" si="2"/>
        <v>0.4375</v>
      </c>
      <c r="AP15" s="12">
        <f t="shared" si="2"/>
        <v>0.109375</v>
      </c>
      <c r="AQ15" s="12">
        <f t="shared" si="2"/>
        <v>0.234375</v>
      </c>
      <c r="AR15" s="12">
        <f t="shared" si="2"/>
        <v>1.4375</v>
      </c>
      <c r="AS15" s="12">
        <f t="shared" si="2"/>
        <v>1</v>
      </c>
      <c r="AT15" s="12">
        <f t="shared" si="2"/>
        <v>2.109375</v>
      </c>
      <c r="AU15" s="12">
        <f t="shared" si="2"/>
        <v>0.234375</v>
      </c>
      <c r="AV15" s="12">
        <f t="shared" si="2"/>
        <v>2.6875</v>
      </c>
      <c r="AW15" s="12">
        <f t="shared" si="2"/>
        <v>0.1875</v>
      </c>
    </row>
    <row r="16" spans="1:49" s="10" customFormat="1" x14ac:dyDescent="0.25">
      <c r="D16" s="10" t="s">
        <v>41</v>
      </c>
      <c r="E16" s="10">
        <f>STDEV(E4:E11)</f>
        <v>0.46291004988627571</v>
      </c>
      <c r="F16" s="10">
        <f t="shared" ref="F16:AW16" si="3">STDEV(F4:F11)</f>
        <v>1.5811388300841898</v>
      </c>
      <c r="G16" s="10">
        <f t="shared" si="3"/>
        <v>1.4880476182856899</v>
      </c>
      <c r="H16" s="10">
        <f t="shared" si="3"/>
        <v>0.53452248382484879</v>
      </c>
      <c r="I16" s="10">
        <f t="shared" si="3"/>
        <v>0.51754916950676566</v>
      </c>
      <c r="J16" s="10">
        <f t="shared" si="3"/>
        <v>1.0350983390135313</v>
      </c>
      <c r="K16" s="10">
        <f t="shared" si="3"/>
        <v>0.83452296039628016</v>
      </c>
      <c r="L16" s="10">
        <f t="shared" si="3"/>
        <v>1.1952286093343936</v>
      </c>
      <c r="M16" s="10">
        <f t="shared" si="3"/>
        <v>0.91612538131290433</v>
      </c>
      <c r="N16" s="10">
        <f t="shared" si="3"/>
        <v>1.4577379737113252</v>
      </c>
      <c r="O16" s="10">
        <f t="shared" si="3"/>
        <v>1.685018016012207</v>
      </c>
      <c r="P16" s="10">
        <f t="shared" si="3"/>
        <v>1.5118578920369088</v>
      </c>
      <c r="Q16" s="10">
        <f t="shared" si="3"/>
        <v>0.7559289460184544</v>
      </c>
      <c r="R16" s="10">
        <f t="shared" si="3"/>
        <v>1.7525491637693282</v>
      </c>
      <c r="S16" s="10">
        <f t="shared" si="3"/>
        <v>0.7559289460184544</v>
      </c>
      <c r="T16" s="10">
        <f t="shared" si="3"/>
        <v>1.1649647450214351</v>
      </c>
      <c r="U16" s="10">
        <f t="shared" si="3"/>
        <v>1.7525491637693282</v>
      </c>
      <c r="V16" s="10">
        <f t="shared" si="3"/>
        <v>1.2464234547582249</v>
      </c>
      <c r="W16" s="10">
        <f t="shared" si="3"/>
        <v>0.74402380914284494</v>
      </c>
      <c r="X16" s="10">
        <f t="shared" si="3"/>
        <v>0.91612538131290433</v>
      </c>
      <c r="Y16" s="10">
        <f t="shared" si="3"/>
        <v>0.91612538131290433</v>
      </c>
      <c r="Z16" s="10">
        <f t="shared" si="3"/>
        <v>0.51754916950676566</v>
      </c>
      <c r="AA16" s="10">
        <f t="shared" si="3"/>
        <v>0.35355339059327379</v>
      </c>
      <c r="AB16" s="10">
        <f t="shared" si="3"/>
        <v>0.35355339059327379</v>
      </c>
      <c r="AC16" s="10">
        <f t="shared" si="3"/>
        <v>1.5811388300841898</v>
      </c>
      <c r="AD16" s="10">
        <f t="shared" si="3"/>
        <v>1.4142135623730951</v>
      </c>
      <c r="AE16" s="10">
        <f t="shared" si="3"/>
        <v>1.8516401995451028</v>
      </c>
      <c r="AF16" s="10">
        <f t="shared" si="3"/>
        <v>0.35355339059327379</v>
      </c>
      <c r="AG16" s="10">
        <f t="shared" si="3"/>
        <v>2.0701966780270626</v>
      </c>
      <c r="AH16" s="10">
        <f t="shared" si="3"/>
        <v>0.53452248382484879</v>
      </c>
      <c r="AI16" s="10">
        <f t="shared" si="3"/>
        <v>1.0690449676496976</v>
      </c>
      <c r="AJ16" s="10">
        <f t="shared" si="3"/>
        <v>1.8468119248354136</v>
      </c>
      <c r="AK16" s="10">
        <f t="shared" si="3"/>
        <v>1.6035674514745464</v>
      </c>
      <c r="AL16" s="10">
        <f t="shared" si="3"/>
        <v>0.53452248382484879</v>
      </c>
      <c r="AM16" s="10">
        <f t="shared" si="3"/>
        <v>0.53452248382484879</v>
      </c>
      <c r="AN16" s="10">
        <f t="shared" si="3"/>
        <v>0.53452248382484879</v>
      </c>
      <c r="AO16" s="10">
        <f t="shared" si="3"/>
        <v>0.70710678118654757</v>
      </c>
      <c r="AP16" s="10">
        <f t="shared" si="3"/>
        <v>0.35355339059327379</v>
      </c>
      <c r="AQ16" s="10">
        <f t="shared" si="3"/>
        <v>0.51754916950676566</v>
      </c>
      <c r="AR16" s="10">
        <f t="shared" si="3"/>
        <v>1.2817398889233114</v>
      </c>
      <c r="AS16" s="10">
        <f t="shared" si="3"/>
        <v>1.0690449676496976</v>
      </c>
      <c r="AT16" s="10">
        <f t="shared" si="3"/>
        <v>1.5526475085202969</v>
      </c>
      <c r="AU16" s="10">
        <f t="shared" si="3"/>
        <v>0.51754916950676566</v>
      </c>
      <c r="AV16" s="10">
        <f t="shared" si="3"/>
        <v>1.7525491637693282</v>
      </c>
      <c r="AW16" s="10">
        <f t="shared" si="3"/>
        <v>0.46291004988627571</v>
      </c>
    </row>
    <row r="23" spans="3:19" x14ac:dyDescent="0.25">
      <c r="I23" s="5" t="s">
        <v>42</v>
      </c>
    </row>
    <row r="24" spans="3:19" x14ac:dyDescent="0.25">
      <c r="I24" s="6" t="s">
        <v>43</v>
      </c>
    </row>
    <row r="25" spans="3:19" x14ac:dyDescent="0.25">
      <c r="I25" s="7" t="s">
        <v>44</v>
      </c>
    </row>
    <row r="27" spans="3:19" ht="13" x14ac:dyDescent="0.3">
      <c r="C27" s="21" t="s">
        <v>45</v>
      </c>
      <c r="D27" s="22"/>
      <c r="H27" s="24" t="s">
        <v>46</v>
      </c>
      <c r="I27" s="24"/>
      <c r="L27" s="25" t="s">
        <v>47</v>
      </c>
      <c r="M27" s="25"/>
      <c r="P27" s="5" t="s">
        <v>48</v>
      </c>
      <c r="Q27" s="5"/>
      <c r="R27" s="5"/>
      <c r="S27" s="5"/>
    </row>
    <row r="29" spans="3:19" x14ac:dyDescent="0.25">
      <c r="C29" s="23" t="s">
        <v>55</v>
      </c>
      <c r="D29" s="23">
        <f>AVERAGE(E4:G11)</f>
        <v>3.25</v>
      </c>
      <c r="H29" s="23" t="s">
        <v>55</v>
      </c>
      <c r="I29" s="23">
        <f>AVERAGE(T4:V11)</f>
        <v>3.2083333333333335</v>
      </c>
      <c r="L29" s="23" t="s">
        <v>55</v>
      </c>
      <c r="M29" s="23">
        <f>AVERAGE(AI4:AK11)</f>
        <v>3.375</v>
      </c>
      <c r="P29" s="23" t="s">
        <v>55</v>
      </c>
      <c r="Q29" s="23">
        <f>AVERAGE(D29,I29,M29)</f>
        <v>3.2777777777777781</v>
      </c>
    </row>
    <row r="30" spans="3:19" x14ac:dyDescent="0.25">
      <c r="C30" s="23" t="s">
        <v>59</v>
      </c>
      <c r="D30" s="23">
        <f>AVERAGE(H4:J11)</f>
        <v>4.458333333333333</v>
      </c>
      <c r="H30" s="23" t="s">
        <v>59</v>
      </c>
      <c r="I30" s="23">
        <f>AVERAGE(W4:Y11)</f>
        <v>4.375</v>
      </c>
      <c r="L30" s="23" t="s">
        <v>59</v>
      </c>
      <c r="M30" s="23">
        <f>AVERAGE(AL4:AN11)</f>
        <v>4.5</v>
      </c>
      <c r="P30" s="23" t="s">
        <v>59</v>
      </c>
      <c r="Q30" s="23">
        <f>AVERAGE(D30,I30,M30)</f>
        <v>4.4444444444444438</v>
      </c>
    </row>
    <row r="31" spans="3:19" x14ac:dyDescent="0.25">
      <c r="C31" s="23" t="s">
        <v>56</v>
      </c>
      <c r="D31" s="23">
        <f>AVERAGE(K4:M11)</f>
        <v>4.083333333333333</v>
      </c>
      <c r="H31" s="23" t="s">
        <v>56</v>
      </c>
      <c r="I31" s="23">
        <f>AVERAGE(Z4:AB11)</f>
        <v>4.708333333333333</v>
      </c>
      <c r="L31" s="23" t="s">
        <v>56</v>
      </c>
      <c r="M31" s="23">
        <f>AVERAGE(AO4:AQ11)</f>
        <v>4.583333333333333</v>
      </c>
      <c r="P31" s="23" t="s">
        <v>56</v>
      </c>
      <c r="Q31" s="23">
        <f t="shared" ref="Q31:Q33" si="4">AVERAGE(D31,I31,M31)</f>
        <v>4.458333333333333</v>
      </c>
    </row>
    <row r="32" spans="3:19" x14ac:dyDescent="0.25">
      <c r="C32" s="23" t="s">
        <v>57</v>
      </c>
      <c r="D32" s="23">
        <f>AVERAGE(N4:P11)</f>
        <v>3.0833333333333335</v>
      </c>
      <c r="H32" s="23" t="s">
        <v>57</v>
      </c>
      <c r="I32" s="23">
        <f>AVERAGE(AC4:AE11)</f>
        <v>3.0833333333333335</v>
      </c>
      <c r="L32" s="23" t="s">
        <v>57</v>
      </c>
      <c r="M32" s="23">
        <f>AVERAGE(AR4:AT11)</f>
        <v>3.375</v>
      </c>
      <c r="P32" s="23" t="s">
        <v>57</v>
      </c>
      <c r="Q32" s="23">
        <f t="shared" si="4"/>
        <v>3.1805555555555558</v>
      </c>
    </row>
    <row r="33" spans="2:17" x14ac:dyDescent="0.25">
      <c r="C33" s="23" t="s">
        <v>58</v>
      </c>
      <c r="D33" s="23">
        <f>AVERAGE(Q4:S11)</f>
        <v>3.75</v>
      </c>
      <c r="H33" s="23" t="s">
        <v>58</v>
      </c>
      <c r="I33" s="23">
        <f>AVERAGE(AF4:AH11)</f>
        <v>3.9583333333333335</v>
      </c>
      <c r="L33" s="23" t="s">
        <v>58</v>
      </c>
      <c r="M33" s="23">
        <f>AVERAGE(AU4:AW11)</f>
        <v>3.875</v>
      </c>
      <c r="P33" s="23" t="s">
        <v>58</v>
      </c>
      <c r="Q33" s="23">
        <f t="shared" si="4"/>
        <v>3.8611111111111112</v>
      </c>
    </row>
    <row r="37" spans="2:17" ht="13" x14ac:dyDescent="0.3">
      <c r="B37" s="22"/>
      <c r="C37" s="21" t="s">
        <v>49</v>
      </c>
      <c r="D37" s="22"/>
      <c r="E37" s="22"/>
      <c r="F37" s="22"/>
      <c r="G37" s="22"/>
    </row>
    <row r="38" spans="2:17" x14ac:dyDescent="0.25">
      <c r="C38" t="s">
        <v>50</v>
      </c>
      <c r="E38" t="s">
        <v>51</v>
      </c>
    </row>
    <row r="39" spans="2:17" ht="13" x14ac:dyDescent="0.3">
      <c r="B39" s="20" t="s">
        <v>52</v>
      </c>
      <c r="C39">
        <f>AVERAGE(E4:S11)</f>
        <v>3.7250000000000001</v>
      </c>
      <c r="E39">
        <f>STDEV(E4:S11)</f>
        <v>1.4199212902792304</v>
      </c>
    </row>
    <row r="40" spans="2:17" ht="13" x14ac:dyDescent="0.3">
      <c r="B40" s="20" t="s">
        <v>53</v>
      </c>
      <c r="C40">
        <f>AVERAGE(T4:AH11)</f>
        <v>3.8666666666666667</v>
      </c>
      <c r="E40">
        <f>STDEV(T4:AH11)</f>
        <v>1.4373957153745207</v>
      </c>
    </row>
    <row r="41" spans="2:17" ht="13" x14ac:dyDescent="0.3">
      <c r="B41" s="20" t="s">
        <v>54</v>
      </c>
      <c r="C41">
        <f>AVERAGE(AI4:AW11)</f>
        <v>3.9416666666666669</v>
      </c>
      <c r="E41">
        <f>STDEV(AI4:AW11)</f>
        <v>1.3302924006204273</v>
      </c>
    </row>
    <row r="43" spans="2:17" ht="13" x14ac:dyDescent="0.3">
      <c r="B43" s="20" t="s">
        <v>38</v>
      </c>
      <c r="C43">
        <f>AVERAGE(C39:C41)</f>
        <v>3.8444444444444446</v>
      </c>
      <c r="E43">
        <f>AVERAGE(E39:E41)</f>
        <v>1.3958698020913929</v>
      </c>
    </row>
  </sheetData>
  <mergeCells count="15"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  <mergeCell ref="AO1:AQ1"/>
    <mergeCell ref="AR1:AT1"/>
    <mergeCell ref="AU1:AW1"/>
  </mergeCells>
  <phoneticPr fontId="2" type="noConversion"/>
  <pageMargins left="0.75" right="0.75" top="1" bottom="1" header="0.5" footer="0.5"/>
  <pageSetup orientation="portrait"/>
  <headerFooter>
    <oddFooter>&amp;L_x000D_&amp;1#&amp;"Calibri"&amp;10&amp;K000000 LUT Group Confidential - Other information (3Y)</oddFooter>
  </headerFooter>
</worksheet>
</file>

<file path=docMetadata/LabelInfo.xml><?xml version="1.0" encoding="utf-8"?>
<clbl:labelList xmlns:clbl="http://schemas.microsoft.com/office/2020/mipLabelMetadata">
  <clbl:label id="{4306014c-c088-4a50-b503-4830bda7971c}" enabled="1" method="Standard" siteId="{9d97530e-8f27-4137-a2a9-5cb4dcf26f2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Syed Naqvi (LUT)</cp:lastModifiedBy>
  <cp:revision/>
  <dcterms:created xsi:type="dcterms:W3CDTF">2025-10-30T14:16:45Z</dcterms:created>
  <dcterms:modified xsi:type="dcterms:W3CDTF">2025-12-30T15:36:40Z</dcterms:modified>
  <cp:category/>
  <cp:contentStatus/>
</cp:coreProperties>
</file>